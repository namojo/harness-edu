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이행현황요약" sheetId="1" state="visible" r:id="rId3"/>
    <sheet name="★최종안" sheetId="2" state="visible" r:id="rId4"/>
  </sheets>
  <definedNames>
    <definedName function="false" hidden="false" name="gg" vbProcedure="false">★최종안!$N$2:$R$18</definedName>
    <definedName function="false" hidden="false" name="pp" vbProcedure="false">#REF!</definedName>
    <definedName function="false" hidden="false" name="ww" vbProcedure="false">★최종안!$O$5:$R$68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<sst xmlns="http://schemas.openxmlformats.org/spreadsheetml/2006/main" count="3540" uniqueCount="1280">
  <si>
    <r>
      <rPr>
        <b val="true"/>
        <sz val="14"/>
        <color rgb="FF000000"/>
        <rFont val="Noto Sans CJK SC"/>
        <family val="2"/>
      </rPr>
      <t xml:space="preserve">대한민국 </t>
    </r>
    <r>
      <rPr>
        <b val="true"/>
        <sz val="14"/>
        <color rgb="FF000000"/>
        <rFont val="Malgun Gothic"/>
        <family val="0"/>
        <charset val="1"/>
      </rPr>
      <t xml:space="preserve">AI </t>
    </r>
    <r>
      <rPr>
        <b val="true"/>
        <sz val="14"/>
        <color rgb="FF000000"/>
        <rFont val="Noto Sans CJK SC"/>
        <family val="2"/>
      </rPr>
      <t xml:space="preserve">행동계획 </t>
    </r>
    <r>
      <rPr>
        <b val="true"/>
        <sz val="14"/>
        <color rgb="FF000000"/>
        <rFont val="Malgun Gothic"/>
        <family val="0"/>
        <charset val="1"/>
      </rPr>
      <t xml:space="preserve">2026 — </t>
    </r>
    <r>
      <rPr>
        <b val="true"/>
        <sz val="14"/>
        <color rgb="FF000000"/>
        <rFont val="Noto Sans CJK SC"/>
        <family val="2"/>
      </rPr>
      <t xml:space="preserve">이행현황 요약</t>
    </r>
  </si>
  <si>
    <r>
      <rPr>
        <sz val="9"/>
        <color rgb="FF666666"/>
        <rFont val="Noto Sans CJK SC"/>
        <family val="2"/>
      </rPr>
      <t xml:space="preserve">출처</t>
    </r>
    <r>
      <rPr>
        <sz val="9"/>
        <color rgb="FF666666"/>
        <rFont val="Malgun Gothic"/>
        <family val="0"/>
        <charset val="1"/>
      </rPr>
      <t xml:space="preserve">: </t>
    </r>
    <r>
      <rPr>
        <sz val="9"/>
        <color rgb="FF666666"/>
        <rFont val="Noto Sans CJK SC"/>
        <family val="2"/>
      </rPr>
      <t xml:space="preserve">국가</t>
    </r>
    <r>
      <rPr>
        <sz val="9"/>
        <color rgb="FF666666"/>
        <rFont val="Malgun Gothic"/>
        <family val="0"/>
        <charset val="1"/>
      </rPr>
      <t xml:space="preserve">AI</t>
    </r>
    <r>
      <rPr>
        <sz val="9"/>
        <color rgb="FF666666"/>
        <rFont val="Noto Sans CJK SC"/>
        <family val="2"/>
      </rPr>
      <t xml:space="preserve">전략위 행동계획 확정본</t>
    </r>
    <r>
      <rPr>
        <sz val="9"/>
        <color rgb="FF666666"/>
        <rFont val="Malgun Gothic"/>
        <family val="0"/>
        <charset val="1"/>
      </rPr>
      <t xml:space="preserve">(’26.2.25) + K-AI2026 </t>
    </r>
    <r>
      <rPr>
        <sz val="9"/>
        <color rgb="FF666666"/>
        <rFont val="Noto Sans CJK SC"/>
        <family val="2"/>
      </rPr>
      <t xml:space="preserve">대시보드</t>
    </r>
    <r>
      <rPr>
        <sz val="9"/>
        <color rgb="FF666666"/>
        <rFont val="Malgun Gothic"/>
        <family val="0"/>
        <charset val="1"/>
      </rPr>
      <t xml:space="preserve">(UNOFFICIAL) </t>
    </r>
    <r>
      <rPr>
        <sz val="9"/>
        <color rgb="FF666666"/>
        <rFont val="Noto Sans CJK SC"/>
        <family val="2"/>
      </rPr>
      <t xml:space="preserve">분석 기준</t>
    </r>
  </si>
  <si>
    <t xml:space="preserve">기준일</t>
  </si>
  <si>
    <t xml:space="preserve">■ 총괄</t>
  </si>
  <si>
    <r>
      <rPr>
        <b val="true"/>
        <sz val="11"/>
        <color rgb="FF000000"/>
        <rFont val="Noto Sans CJK SC"/>
        <family val="2"/>
      </rPr>
      <t xml:space="preserve">■ 위험도별 현황 </t>
    </r>
    <r>
      <rPr>
        <b val="true"/>
        <sz val="11"/>
        <color rgb="FF000000"/>
        <rFont val="Malgun Gothic"/>
        <family val="0"/>
        <charset val="1"/>
      </rPr>
      <t xml:space="preserve">(</t>
    </r>
    <r>
      <rPr>
        <b val="true"/>
        <sz val="11"/>
        <color rgb="FF000000"/>
        <rFont val="Noto Sans CJK SC"/>
        <family val="2"/>
      </rPr>
      <t xml:space="preserve">기준일 기준</t>
    </r>
    <r>
      <rPr>
        <b val="true"/>
        <sz val="11"/>
        <color rgb="FF000000"/>
        <rFont val="Malgun Gothic"/>
        <family val="0"/>
        <charset val="1"/>
      </rPr>
      <t xml:space="preserve">)</t>
    </r>
  </si>
  <si>
    <t xml:space="preserve">실천과제 수</t>
  </si>
  <si>
    <t xml:space="preserve">위험도</t>
  </si>
  <si>
    <t xml:space="preserve">권고 수</t>
  </si>
  <si>
    <t xml:space="preserve">비중</t>
  </si>
  <si>
    <t xml:space="preserve">정책권고 수</t>
  </si>
  <si>
    <t xml:space="preserve">기한초과</t>
  </si>
  <si>
    <t xml:space="preserve">정책축</t>
  </si>
  <si>
    <t xml:space="preserve">긴급</t>
  </si>
  <si>
    <t xml:space="preserve">전략분야</t>
  </si>
  <si>
    <t xml:space="preserve">주의</t>
  </si>
  <si>
    <t xml:space="preserve">관찰</t>
  </si>
  <si>
    <t xml:space="preserve">여유</t>
  </si>
  <si>
    <t xml:space="preserve">기한없음</t>
  </si>
  <si>
    <t xml:space="preserve">계</t>
  </si>
  <si>
    <t xml:space="preserve">■ 정책축별 권고 수</t>
  </si>
  <si>
    <t xml:space="preserve">■ 추진기한별 권고 수</t>
  </si>
  <si>
    <t xml:space="preserve">기한</t>
  </si>
  <si>
    <r>
      <rPr>
        <sz val="10"/>
        <color rgb="FF000000"/>
        <rFont val="Malgun Gothic"/>
        <family val="0"/>
        <charset val="1"/>
      </rPr>
      <t xml:space="preserve">1. AI </t>
    </r>
    <r>
      <rPr>
        <sz val="10"/>
        <color rgb="FF000000"/>
        <rFont val="Noto Sans CJK SC"/>
        <family val="2"/>
      </rPr>
      <t xml:space="preserve">혁신생태계 조성</t>
    </r>
  </si>
  <si>
    <t xml:space="preserve">’26.1</t>
  </si>
  <si>
    <r>
      <rPr>
        <sz val="10"/>
        <color rgb="FF000000"/>
        <rFont val="Malgun Gothic"/>
        <family val="0"/>
        <charset val="1"/>
      </rPr>
      <t xml:space="preserve">2. </t>
    </r>
    <r>
      <rPr>
        <sz val="10"/>
        <color rgb="FF000000"/>
        <rFont val="Noto Sans CJK SC"/>
        <family val="2"/>
      </rPr>
      <t xml:space="preserve">범국가 </t>
    </r>
    <r>
      <rPr>
        <sz val="10"/>
        <color rgb="FF000000"/>
        <rFont val="Malgun Gothic"/>
        <family val="0"/>
        <charset val="1"/>
      </rPr>
      <t xml:space="preserve">AI </t>
    </r>
    <r>
      <rPr>
        <sz val="10"/>
        <color rgb="FF000000"/>
        <rFont val="Noto Sans CJK SC"/>
        <family val="2"/>
      </rPr>
      <t xml:space="preserve">기반 대전환</t>
    </r>
  </si>
  <si>
    <t xml:space="preserve">’26.2</t>
  </si>
  <si>
    <r>
      <rPr>
        <sz val="10"/>
        <color rgb="FF000000"/>
        <rFont val="Malgun Gothic"/>
        <family val="0"/>
        <charset val="1"/>
      </rPr>
      <t xml:space="preserve">3. </t>
    </r>
    <r>
      <rPr>
        <sz val="10"/>
        <color rgb="FF000000"/>
        <rFont val="Noto Sans CJK SC"/>
        <family val="2"/>
      </rPr>
      <t xml:space="preserve">글로벌 </t>
    </r>
    <r>
      <rPr>
        <sz val="10"/>
        <color rgb="FF000000"/>
        <rFont val="Malgun Gothic"/>
        <family val="0"/>
        <charset val="1"/>
      </rPr>
      <t xml:space="preserve">AI </t>
    </r>
    <r>
      <rPr>
        <sz val="10"/>
        <color rgb="FF000000"/>
        <rFont val="Noto Sans CJK SC"/>
        <family val="2"/>
      </rPr>
      <t xml:space="preserve">기본사회 기여</t>
    </r>
  </si>
  <si>
    <t xml:space="preserve">’26.3</t>
  </si>
  <si>
    <t xml:space="preserve">’26.4</t>
  </si>
  <si>
    <t xml:space="preserve">’27.1</t>
  </si>
  <si>
    <r>
      <rPr>
        <b val="true"/>
        <sz val="11"/>
        <color rgb="FF000000"/>
        <rFont val="Noto Sans CJK SC"/>
        <family val="2"/>
      </rPr>
      <t xml:space="preserve">■ 주요 부처별 권고 수 </t>
    </r>
    <r>
      <rPr>
        <b val="true"/>
        <sz val="11"/>
        <color rgb="FF000000"/>
        <rFont val="Malgun Gothic"/>
        <family val="0"/>
        <charset val="1"/>
      </rPr>
      <t xml:space="preserve">(</t>
    </r>
    <r>
      <rPr>
        <b val="true"/>
        <sz val="11"/>
        <color rgb="FF000000"/>
        <rFont val="Noto Sans CJK SC"/>
        <family val="2"/>
      </rPr>
      <t xml:space="preserve">주관 기준</t>
    </r>
    <r>
      <rPr>
        <b val="true"/>
        <sz val="11"/>
        <color rgb="FF000000"/>
        <rFont val="Malgun Gothic"/>
        <family val="0"/>
        <charset val="1"/>
      </rPr>
      <t xml:space="preserve">, </t>
    </r>
    <r>
      <rPr>
        <b val="true"/>
        <sz val="11"/>
        <color rgb="FF000000"/>
        <rFont val="Noto Sans CJK SC"/>
        <family val="2"/>
      </rPr>
      <t xml:space="preserve">상위</t>
    </r>
    <r>
      <rPr>
        <b val="true"/>
        <sz val="11"/>
        <color rgb="FF000000"/>
        <rFont val="Malgun Gothic"/>
        <family val="0"/>
        <charset val="1"/>
      </rPr>
      <t xml:space="preserve">)</t>
    </r>
  </si>
  <si>
    <t xml:space="preserve">’27.2</t>
  </si>
  <si>
    <t xml:space="preserve">부처</t>
  </si>
  <si>
    <t xml:space="preserve">’27.4</t>
  </si>
  <si>
    <t xml:space="preserve">과기정통부</t>
  </si>
  <si>
    <t xml:space="preserve">’28.1</t>
  </si>
  <si>
    <t xml:space="preserve">복지부</t>
  </si>
  <si>
    <t xml:space="preserve">’30.4</t>
  </si>
  <si>
    <t xml:space="preserve">산업부</t>
  </si>
  <si>
    <t xml:space="preserve">국방부</t>
  </si>
  <si>
    <t xml:space="preserve">교육부</t>
  </si>
  <si>
    <t xml:space="preserve">행안부</t>
  </si>
  <si>
    <t xml:space="preserve">중기부</t>
  </si>
  <si>
    <t xml:space="preserve">국토부</t>
  </si>
  <si>
    <t xml:space="preserve">문체부</t>
  </si>
  <si>
    <t xml:space="preserve">금융위</t>
  </si>
  <si>
    <r>
      <rPr>
        <sz val="9"/>
        <color rgb="FF666666"/>
        <rFont val="Noto Sans CJK SC"/>
        <family val="2"/>
      </rPr>
      <t xml:space="preserve">※ 위험도 분류</t>
    </r>
    <r>
      <rPr>
        <sz val="9"/>
        <color rgb="FF666666"/>
        <rFont val="Malgun Gothic"/>
        <family val="0"/>
        <charset val="1"/>
      </rPr>
      <t xml:space="preserve">: </t>
    </r>
    <r>
      <rPr>
        <sz val="9"/>
        <color rgb="FF666666"/>
        <rFont val="Noto Sans CJK SC"/>
        <family val="2"/>
      </rPr>
      <t xml:space="preserve">기한초과</t>
    </r>
    <r>
      <rPr>
        <sz val="9"/>
        <color rgb="FF666666"/>
        <rFont val="Malgun Gothic"/>
        <family val="0"/>
        <charset val="1"/>
      </rPr>
      <t xml:space="preserve">(D&lt;0) / </t>
    </r>
    <r>
      <rPr>
        <sz val="9"/>
        <color rgb="FF666666"/>
        <rFont val="Noto Sans CJK SC"/>
        <family val="2"/>
      </rPr>
      <t xml:space="preserve">긴급</t>
    </r>
    <r>
      <rPr>
        <sz val="9"/>
        <color rgb="FF666666"/>
        <rFont val="Malgun Gothic"/>
        <family val="0"/>
        <charset val="1"/>
      </rPr>
      <t xml:space="preserve">(D≤34) / </t>
    </r>
    <r>
      <rPr>
        <sz val="9"/>
        <color rgb="FF666666"/>
        <rFont val="Noto Sans CJK SC"/>
        <family val="2"/>
      </rPr>
      <t xml:space="preserve">주의</t>
    </r>
    <r>
      <rPr>
        <sz val="9"/>
        <color rgb="FF666666"/>
        <rFont val="Malgun Gothic"/>
        <family val="0"/>
        <charset val="1"/>
      </rPr>
      <t xml:space="preserve">(D≤120) / </t>
    </r>
    <r>
      <rPr>
        <sz val="9"/>
        <color rgb="FF666666"/>
        <rFont val="Noto Sans CJK SC"/>
        <family val="2"/>
      </rPr>
      <t xml:space="preserve">관찰</t>
    </r>
    <r>
      <rPr>
        <sz val="9"/>
        <color rgb="FF666666"/>
        <rFont val="Malgun Gothic"/>
        <family val="0"/>
        <charset val="1"/>
      </rPr>
      <t xml:space="preserve">(D≤240) / </t>
    </r>
    <r>
      <rPr>
        <sz val="9"/>
        <color rgb="FF666666"/>
        <rFont val="Noto Sans CJK SC"/>
        <family val="2"/>
      </rPr>
      <t xml:space="preserve">여유</t>
    </r>
    <r>
      <rPr>
        <sz val="9"/>
        <color rgb="FF666666"/>
        <rFont val="Malgun Gothic"/>
        <family val="0"/>
        <charset val="1"/>
      </rPr>
      <t xml:space="preserve">(</t>
    </r>
    <r>
      <rPr>
        <sz val="9"/>
        <color rgb="FF666666"/>
        <rFont val="Noto Sans CJK SC"/>
        <family val="2"/>
      </rPr>
      <t xml:space="preserve">그 외</t>
    </r>
    <r>
      <rPr>
        <sz val="9"/>
        <color rgb="FF666666"/>
        <rFont val="Malgun Gothic"/>
        <family val="0"/>
        <charset val="1"/>
      </rPr>
      <t xml:space="preserve">) — K-AI2026 </t>
    </r>
    <r>
      <rPr>
        <sz val="9"/>
        <color rgb="FF666666"/>
        <rFont val="Noto Sans CJK SC"/>
        <family val="2"/>
      </rPr>
      <t xml:space="preserve">대시보드와 동일 기준</t>
    </r>
  </si>
  <si>
    <r>
      <rPr>
        <sz val="9"/>
        <color rgb="FF666666"/>
        <rFont val="Noto Sans CJK SC"/>
        <family val="2"/>
      </rPr>
      <t xml:space="preserve">※ 부처별 수치는 주관 열에 부처명이 포함된 권고 수</t>
    </r>
    <r>
      <rPr>
        <sz val="9"/>
        <color rgb="FF666666"/>
        <rFont val="Malgun Gothic"/>
        <family val="0"/>
        <charset val="1"/>
      </rPr>
      <t xml:space="preserve">(</t>
    </r>
    <r>
      <rPr>
        <sz val="9"/>
        <color rgb="FF666666"/>
        <rFont val="Noto Sans CJK SC"/>
        <family val="2"/>
      </rPr>
      <t xml:space="preserve">공동주관 시 중복 집계될 수 있음</t>
    </r>
    <r>
      <rPr>
        <sz val="9"/>
        <color rgb="FF666666"/>
        <rFont val="Malgun Gothic"/>
        <family val="0"/>
        <charset val="1"/>
      </rPr>
      <t xml:space="preserve">)</t>
    </r>
  </si>
  <si>
    <t xml:space="preserve">과제 구분</t>
  </si>
  <si>
    <t xml:space="preserve">과제 번호</t>
  </si>
  <si>
    <t xml:space="preserve">과제명</t>
  </si>
  <si>
    <t xml:space="preserve">분과 구분(안)</t>
  </si>
  <si>
    <t xml:space="preserve">최종안</t>
  </si>
  <si>
    <t xml:space="preserve">주관</t>
  </si>
  <si>
    <t xml:space="preserve">공동주관</t>
  </si>
  <si>
    <t xml:space="preserve">협조부처</t>
  </si>
  <si>
    <t xml:space="preserve">담당 팀</t>
  </si>
  <si>
    <t xml:space="preserve">기한일자</t>
  </si>
  <si>
    <t xml:space="preserve">D-Day</t>
  </si>
  <si>
    <t xml:space="preserve">이행상태</t>
  </si>
  <si>
    <r>
      <rPr>
        <sz val="11"/>
        <color theme="1"/>
        <rFont val="맑은 고딕"/>
        <family val="2"/>
        <charset val="1"/>
      </rPr>
      <t xml:space="preserve">1. AI </t>
    </r>
    <r>
      <rPr>
        <sz val="11"/>
        <color theme="1"/>
        <rFont val="Noto Sans CJK SC"/>
        <family val="2"/>
      </rPr>
      <t xml:space="preserve">혁신생태계 조성</t>
    </r>
  </si>
  <si>
    <t xml:space="preserve">전략분야 1) AI 고속도로 구축</t>
  </si>
  <si>
    <r>
      <rPr>
        <sz val="11"/>
        <color theme="1"/>
        <rFont val="맑은 고딕"/>
        <family val="2"/>
        <charset val="1"/>
      </rPr>
      <t xml:space="preserve">01 GPU, NPU </t>
    </r>
    <r>
      <rPr>
        <sz val="11"/>
        <color theme="1"/>
        <rFont val="Noto Sans CJK SC"/>
        <family val="2"/>
      </rPr>
      <t xml:space="preserve">등 핵심 </t>
    </r>
    <r>
      <rPr>
        <sz val="11"/>
        <color theme="1"/>
        <rFont val="맑은 고딕"/>
        <family val="2"/>
        <charset val="1"/>
      </rPr>
      <t xml:space="preserve">AI </t>
    </r>
    <r>
      <rPr>
        <sz val="11"/>
        <color theme="1"/>
        <rFont val="Noto Sans CJK SC"/>
        <family val="2"/>
      </rPr>
      <t xml:space="preserve">컴퓨팅 인프라 확충</t>
    </r>
  </si>
  <si>
    <t xml:space="preserve">1-1</t>
  </si>
  <si>
    <t xml:space="preserve">첨단 GPU 확충 및 운영</t>
  </si>
  <si>
    <t xml:space="preserve">기술혁신·인프라 분과</t>
  </si>
  <si>
    <t xml:space="preserve">과기정통부는 최소 5만장 이상의 대규모 첨단 GPU를 정부 주도로 ’28년 4분기까지 확충하며, 이를 활용한 정부 글로벌 프론티어 AI 과제 등 대규모 모델 학습 및 서비스를 위한 운영 계획을 ’26년 1분기 내 수립한다.</t>
  </si>
  <si>
    <r>
      <rPr>
        <sz val="11"/>
        <color theme="1"/>
        <rFont val="맑은 고딕"/>
        <family val="2"/>
        <charset val="1"/>
      </rPr>
      <t xml:space="preserve">AI</t>
    </r>
    <r>
      <rPr>
        <sz val="11"/>
        <color theme="1"/>
        <rFont val="Noto Sans CJK SC"/>
        <family val="2"/>
      </rPr>
      <t xml:space="preserve">인프라지원팀</t>
    </r>
  </si>
  <si>
    <t xml:space="preserve">진행중</t>
  </si>
  <si>
    <t xml:space="preserve">1-2</t>
  </si>
  <si>
    <r>
      <rPr>
        <sz val="11"/>
        <color theme="1"/>
        <rFont val="맑은 고딕"/>
        <family val="2"/>
        <charset val="1"/>
      </rPr>
      <t xml:space="preserve">GPU </t>
    </r>
    <r>
      <rPr>
        <sz val="11"/>
        <color theme="1"/>
        <rFont val="Noto Sans CJK SC"/>
        <family val="2"/>
      </rPr>
      <t xml:space="preserve">현황조사 및 배분</t>
    </r>
  </si>
  <si>
    <t xml:space="preserve">과기정통부는 국내 GPU 자원에 대한 현황 조사를 ’26년 2분기 내 시행하며, 기보유분을 포함해 정부에서 확보한 GPU 배분 계획을 ’26년 4분기까지 수립한다.</t>
  </si>
  <si>
    <t xml:space="preserve">1-3</t>
  </si>
  <si>
    <t xml:space="preserve">국산 AI반도체 도입 및 생태계 고도화</t>
  </si>
  <si>
    <t xml:space="preserve">과기정통부는 산업부와 협의하여 국산 AI 반도체 기술 경쟁력 강화 및 활성화를 위해 국산 AI 반도체 도입 방안을 ’26년 4분기까지 마련하고 해당 물량을 ’30년 4분기까지 단계적으로 확보한다. 과기정통부는 또한 국산 AI 반도체의 객관적 검증을 위한 평가 체계 수립, 인재 양성 및 차세대 AI 반도체 연구 거점 조성, 부처 간 정책 연계·협력 강화를 위해 산업부와 협의하여 AI 반도체 총괄 협의체를 ’26년 4분기까지 구성하고 국가 차원의 일관된 AI 반도체 생태계 고도화를 추진한다.</t>
  </si>
  <si>
    <r>
      <rPr>
        <sz val="11"/>
        <color theme="1"/>
        <rFont val="맑은 고딕"/>
        <family val="2"/>
        <charset val="1"/>
      </rPr>
      <t xml:space="preserve">02 </t>
    </r>
    <r>
      <rPr>
        <sz val="11"/>
        <color theme="1"/>
        <rFont val="Noto Sans CJK SC"/>
        <family val="2"/>
      </rPr>
      <t xml:space="preserve">지속가능한 </t>
    </r>
    <r>
      <rPr>
        <sz val="11"/>
        <color theme="1"/>
        <rFont val="맑은 고딕"/>
        <family val="2"/>
        <charset val="1"/>
      </rPr>
      <t xml:space="preserve">AI </t>
    </r>
    <r>
      <rPr>
        <sz val="11"/>
        <color theme="1"/>
        <rFont val="Noto Sans CJK SC"/>
        <family val="2"/>
      </rPr>
      <t xml:space="preserve">데이터센터 생태계 구축</t>
    </r>
  </si>
  <si>
    <t xml:space="preserve">2-1</t>
  </si>
  <si>
    <t xml:space="preserve">대형 AI데이터센터 생태계 활성화</t>
  </si>
  <si>
    <t xml:space="preserve">과기정통부는 기후부, 국토부, 문체부, 해수부 등과 협력하여 급변하는 기술 및 수요 변화에 부응하고, 민간 중심 대형 AI 데이터센터 생태계를 활성화할 수 있도록 데이터센터 구축 종합 계획을 ’26년 2분기까지 수립한다. 또한 재정경제부와 협력하여 AI 데이터센터 민간투자 촉진을 위한 세제 혜택 방안 등을 ’26년 1분기까지 완료한다.</t>
  </si>
  <si>
    <t xml:space="preserve">2-2</t>
  </si>
  <si>
    <t xml:space="preserve">강소형 AI데이터센터 확산</t>
  </si>
  <si>
    <t xml:space="preserve">과기정통부는 행안부와 협조하여 공공 및 산업 AX 분야의 수요를 기반으로 한 강소형 AI 데이터센터 확산 방안을 ’26년 4분기 내 마련한다.</t>
  </si>
  <si>
    <t xml:space="preserve">2-3</t>
  </si>
  <si>
    <r>
      <rPr>
        <sz val="11"/>
        <color theme="1"/>
        <rFont val="맑은 고딕"/>
        <family val="2"/>
        <charset val="1"/>
      </rPr>
      <t xml:space="preserve">AI </t>
    </r>
    <r>
      <rPr>
        <sz val="11"/>
        <color theme="1"/>
        <rFont val="Noto Sans CJK SC"/>
        <family val="2"/>
      </rPr>
      <t xml:space="preserve">데이터센터 전력</t>
    </r>
    <r>
      <rPr>
        <sz val="11"/>
        <color theme="1"/>
        <rFont val="맑은 고딕"/>
        <family val="2"/>
        <charset val="1"/>
      </rPr>
      <t xml:space="preserve">·</t>
    </r>
    <r>
      <rPr>
        <sz val="11"/>
        <color theme="1"/>
        <rFont val="Noto Sans CJK SC"/>
        <family val="2"/>
      </rPr>
      <t xml:space="preserve">에너지 안정성 확보</t>
    </r>
  </si>
  <si>
    <t xml:space="preserve">기후부는 전력 계통 안정성 확보를 최우선 목표로, 전력 계통 영향 평가 제도의 지역 간 차등 적용을 통해 비수도권 데이터센터 입지 유인을 강화하고, AI 데이터센터 전력 수요를 ｢전력수급기본계획｣에 합리적으로 반영한다. 또한 기후부는 과기정통부와 협력하여 해외기업의 비수도권 AI 데이터센터 등 투자 유치를 위한 전력·에너지 관련 인센티브 제공 방안 및 재생에너지 발전소-데이터센터 간 연계를 유도·활성화할 수 있는 지원방안을 ’26년 2분기까지 수립한다.</t>
  </si>
  <si>
    <t xml:space="preserve">기후부</t>
  </si>
  <si>
    <r>
      <rPr>
        <sz val="11"/>
        <color theme="1"/>
        <rFont val="맑은 고딕"/>
        <family val="2"/>
        <charset val="1"/>
      </rPr>
      <t xml:space="preserve">03 AI </t>
    </r>
    <r>
      <rPr>
        <sz val="11"/>
        <color theme="1"/>
        <rFont val="Noto Sans CJK SC"/>
        <family val="2"/>
      </rPr>
      <t xml:space="preserve">서비스 기반 고도화를 통한 접근성 제고</t>
    </r>
  </si>
  <si>
    <t xml:space="preserve">3-1</t>
  </si>
  <si>
    <r>
      <rPr>
        <sz val="11"/>
        <color theme="1"/>
        <rFont val="맑은 고딕"/>
        <family val="2"/>
        <charset val="1"/>
      </rPr>
      <t xml:space="preserve">AI</t>
    </r>
    <r>
      <rPr>
        <sz val="11"/>
        <color theme="1"/>
        <rFont val="Noto Sans CJK SC"/>
        <family val="2"/>
      </rPr>
      <t xml:space="preserve">시대 네트워크 고도화</t>
    </r>
  </si>
  <si>
    <t xml:space="preserve">과기정통부는 ’30년까지 피지컬AI와 에이전틱 AI서비스를 뒷받침하는 AI-RAN(Radio Access Network) 상용화, 위성통신망 연동, 초저지연·초대역폭 서비스 수요에 대응한 지능형 6G 용량 확충 및 트래픽 예측 기반의 운용방안 등을 포함하여 AI 시대에 대응한 네트워크 고도화를 할 수 있도록 관련 계획을 ’26년 1분기 내 수립한다. 또한 AI시대 트래픽 폭증과 초실감 AI서비스 등 국내외 수요 대응을 위한 백본망·데이터센터 네트워크 고도화와 함께, 해저케이블 인프라 확충 등을 ’30년까지 추진한다.</t>
  </si>
  <si>
    <t xml:space="preserve">3-2</t>
  </si>
  <si>
    <t xml:space="preserve">데이터센터 자원 등 접근성 제고</t>
  </si>
  <si>
    <t xml:space="preserve">과기정통부는 국가 주도 대형 AI 데이터센터 및 지역 AI 데이터센터 자원의 개방 및 접근성을 높이기 위한 클라우드 서비스 구축 지원 프로그램을 마련하여 ’26년부터 실시한다. 또한, 중기부는 제조 중소기업 대상 바우처 사업계획을 수립하여 ’26년에 시행하고, 복지부는 지역·필수의료 확충 지원을 위해 보건소 및 가칭‘AI 중심병원’대상 바우처 사업계획 및 시스템 개선계획을 수립하여 ’26년에 시행한다.</t>
  </si>
  <si>
    <t xml:space="preserve">과기정통부, 중기부, 복지부</t>
  </si>
  <si>
    <t xml:space="preserve">O</t>
  </si>
  <si>
    <r>
      <rPr>
        <sz val="11"/>
        <color theme="1"/>
        <rFont val="맑은 고딕"/>
        <family val="2"/>
        <charset val="1"/>
      </rPr>
      <t xml:space="preserve">04 </t>
    </r>
    <r>
      <rPr>
        <sz val="11"/>
        <color theme="1"/>
        <rFont val="Noto Sans CJK SC"/>
        <family val="2"/>
      </rPr>
      <t xml:space="preserve">국가데이터 통합플랫폼 기반 민간</t>
    </r>
    <r>
      <rPr>
        <sz val="11"/>
        <color theme="1"/>
        <rFont val="맑은 고딕"/>
        <family val="2"/>
        <charset val="1"/>
      </rPr>
      <t xml:space="preserve">·</t>
    </r>
    <r>
      <rPr>
        <sz val="11"/>
        <color theme="1"/>
        <rFont val="Noto Sans CJK SC"/>
        <family val="2"/>
      </rPr>
      <t xml:space="preserve">공공 데이터 소재 연계 및 품질 고도화</t>
    </r>
  </si>
  <si>
    <t xml:space="preserve">4-1</t>
  </si>
  <si>
    <t xml:space="preserve">국가데이터 통합플랫폼 구축</t>
  </si>
  <si>
    <t xml:space="preserve">데이터 분과</t>
  </si>
  <si>
    <t xml:space="preserve">과기정통부는 AI개발 활용에 필수인 모든 민간･공공데이터의 소재 정보가 한 곳에 연계될 수 있도록 하는 표준화된 ‘국가데이터 통합플랫폼’을 ’26년 4분기까지 구축･운영할 수 있도록, 관련 계획을 ’26년 1분기 내로 마련한다. 또한 과기정통부는 ‘국가데이터 통합플랫폼’에 연계할 하위 데이터 플랫폼을 지정하고 해당 부처가 표준화 연계를 의무화하기 위한 법령안을 ’26년 2분기 이내 발의하여 법제화를 추진하며, 관계부처는 이에 따른다.</t>
  </si>
  <si>
    <r>
      <rPr>
        <sz val="11"/>
        <color theme="1"/>
        <rFont val="맑은 고딕"/>
        <family val="2"/>
        <charset val="1"/>
      </rPr>
      <t xml:space="preserve">AI</t>
    </r>
    <r>
      <rPr>
        <sz val="11"/>
        <color theme="1"/>
        <rFont val="Noto Sans CJK SC"/>
        <family val="2"/>
      </rPr>
      <t xml:space="preserve">데이터규제혁신팀</t>
    </r>
  </si>
  <si>
    <t xml:space="preserve">4-2</t>
  </si>
  <si>
    <r>
      <rPr>
        <sz val="11"/>
        <color theme="1"/>
        <rFont val="맑은 고딕"/>
        <family val="2"/>
        <charset val="1"/>
      </rPr>
      <t xml:space="preserve">AI </t>
    </r>
    <r>
      <rPr>
        <sz val="11"/>
        <color theme="1"/>
        <rFont val="Noto Sans CJK SC"/>
        <family val="2"/>
      </rPr>
      <t xml:space="preserve">학습데이터 등록</t>
    </r>
    <r>
      <rPr>
        <sz val="11"/>
        <color theme="1"/>
        <rFont val="맑은 고딕"/>
        <family val="2"/>
        <charset val="1"/>
      </rPr>
      <t xml:space="preserve">·</t>
    </r>
    <r>
      <rPr>
        <sz val="11"/>
        <color theme="1"/>
        <rFont val="Noto Sans CJK SC"/>
        <family val="2"/>
      </rPr>
      <t xml:space="preserve">연계 제도화</t>
    </r>
  </si>
  <si>
    <t xml:space="preserve">과기정통부는 정부 사업을 통해 만들어진 AI 학습데이터 및 산출데이터는 비민감, 비독점 범위내에서 AI hub에 등록·연계하고 해당 데이터의 소재정보는 국가데이터 통합플랫폼에 등록·연계되도록 의무화하기 위한 법률 제･개정안을 ’26년 2분기까지 발의하여 법제화를 추진하고, 기획예산처는 그 이전에라도 제도가 동작하도록 관련 예산안 편성지침 및 세부지침을 과기정통부와 협의하여 ’26년 4분기 내 제･개정하고 이를 ’27년도부터 모든 사업에 적용한다.</t>
  </si>
  <si>
    <t xml:space="preserve">과기정통부, 기획처</t>
  </si>
  <si>
    <t xml:space="preserve">4-3</t>
  </si>
  <si>
    <t xml:space="preserve">국가데이터 통합플랫폼 공공데이터 품질기준 상향 및 민간데이터 연계</t>
  </si>
  <si>
    <t xml:space="preserve">행안부는 ‘국가데이터 통합플랫폼’의 표준에 따라 최종적으로 연결되는 공공데이터들이 AI학습 및 AI서비스 개발에 원활히 활용될 수 있도록 상향된 데이터 품질 및 평가 기준을 ’26년 1분기까지 마련한다. 이 품질기준은 데이터의 적절한 현행화 절차를 반드시 포함해야 한다. 과기정통부는 민간 데이터 플랫폼의 국가데이터 통합플랫폼 연계와 민간 데이터 플랫폼 내 데이터의 AI학습 및 AI서비스 개발 최적화를 위한 인센티브 정책을 ’26년 1분기까지 수립한다.</t>
  </si>
  <si>
    <t xml:space="preserve">행안부, 과기정통부</t>
  </si>
  <si>
    <r>
      <rPr>
        <sz val="11"/>
        <color theme="1"/>
        <rFont val="맑은 고딕"/>
        <family val="2"/>
        <charset val="1"/>
      </rPr>
      <t xml:space="preserve">05 AI </t>
    </r>
    <r>
      <rPr>
        <sz val="11"/>
        <color theme="1"/>
        <rFont val="Noto Sans CJK SC"/>
        <family val="2"/>
      </rPr>
      <t xml:space="preserve">데이터 공유 생태계 활성화</t>
    </r>
  </si>
  <si>
    <t xml:space="preserve">5-1</t>
  </si>
  <si>
    <r>
      <rPr>
        <sz val="11"/>
        <color theme="1"/>
        <rFont val="맑은 고딕"/>
        <family val="2"/>
        <charset val="1"/>
      </rPr>
      <t xml:space="preserve">AI </t>
    </r>
    <r>
      <rPr>
        <sz val="11"/>
        <color theme="1"/>
        <rFont val="Noto Sans CJK SC"/>
        <family val="2"/>
      </rPr>
      <t xml:space="preserve">학습데이터 공유 활성화</t>
    </r>
  </si>
  <si>
    <t xml:space="preserve">과기정통부는 국세청 등 관계 부처와 협력하여 AI 학습·평가에 활용될 수 있는 데이터의 대외 공개 또는 기부 등을 통해 데이터 공유를 활성화할 수 있는 방안을 ’26년 2분기 이내로 마련한다. 동 방안에는 기업이나 개인 등 공유 주체에 대해 세액공제, 맞춤형 컨설팅, 정부 인프라 우선 이용, 정부 사업 가점 등의 혜택을 부여하는 것을 포함한다. 또한 신설된 제도의 정착과 데이터 공유에 대한 사회적 인식이 확산될 수 있도록 적극적인 인식 제고 활동을 ’26년부터 수행한다.</t>
  </si>
  <si>
    <t xml:space="preserve">국세청</t>
  </si>
  <si>
    <t xml:space="preserve">5-2</t>
  </si>
  <si>
    <t xml:space="preserve">데이터 가치평가·품질인증 제도 통합 및 활용도 제고</t>
  </si>
  <si>
    <t xml:space="preserve">과기정통부는 행안부 등 관계 부처와 협력하여 데이터 가치 평가와 품질 인증 제도가 범부처적으로 통합 및 활용되도록 하며, 관계 부처와 협력하여 ’26년 연내 단계적으로 산업 도메인별로 특화된 데이터 가치 평가 및 품질 인증 모델을 마련하고 기업의 활용을 제고하는 방안을 수립한다.</t>
  </si>
  <si>
    <t xml:space="preserve">5-3</t>
  </si>
  <si>
    <t xml:space="preserve">민간 데이터 공유 초기 지원</t>
  </si>
  <si>
    <t xml:space="preserve">과기정통부는 관계 부처와 협력하여 공유용 데이터 구축 비용 지원 등 민간 데이터 공유 활성화를 위한 초기 지원 사업을 기획하여 ’26년 3분기부터 시행한다.</t>
  </si>
  <si>
    <r>
      <rPr>
        <sz val="11"/>
        <color theme="1"/>
        <rFont val="맑은 고딕"/>
        <family val="2"/>
        <charset val="1"/>
      </rPr>
      <t xml:space="preserve">06 </t>
    </r>
    <r>
      <rPr>
        <sz val="11"/>
        <color theme="1"/>
        <rFont val="Noto Sans CJK SC"/>
        <family val="2"/>
      </rPr>
      <t xml:space="preserve">보건의료 </t>
    </r>
    <r>
      <rPr>
        <sz val="11"/>
        <color theme="1"/>
        <rFont val="맑은 고딕"/>
        <family val="2"/>
        <charset val="1"/>
      </rPr>
      <t xml:space="preserve">AI </t>
    </r>
    <r>
      <rPr>
        <sz val="11"/>
        <color theme="1"/>
        <rFont val="Noto Sans CJK SC"/>
        <family val="2"/>
      </rPr>
      <t xml:space="preserve">고도화와 </t>
    </r>
    <r>
      <rPr>
        <sz val="11"/>
        <color theme="1"/>
        <rFont val="맑은 고딕"/>
        <family val="2"/>
        <charset val="1"/>
      </rPr>
      <t xml:space="preserve">AX </t>
    </r>
    <r>
      <rPr>
        <sz val="11"/>
        <color theme="1"/>
        <rFont val="Noto Sans CJK SC"/>
        <family val="2"/>
      </rPr>
      <t xml:space="preserve">전환에 필요한 학습데이터 확충</t>
    </r>
  </si>
  <si>
    <t xml:space="preserve">6-1</t>
  </si>
  <si>
    <t xml:space="preserve">다기관 의료데이터 확보·활용</t>
  </si>
  <si>
    <r>
      <rPr>
        <sz val="11"/>
        <color theme="1"/>
        <rFont val="맑은 고딕"/>
        <family val="2"/>
        <charset val="1"/>
      </rPr>
      <t xml:space="preserve">AI</t>
    </r>
    <r>
      <rPr>
        <sz val="11"/>
        <color theme="1"/>
        <rFont val="Noto Sans CJK SC"/>
        <family val="2"/>
      </rPr>
      <t xml:space="preserve">기본의료 소그룹</t>
    </r>
  </si>
  <si>
    <t xml:space="preserve">복지부는 AI학습을 위한 다기관 의료데이터를 확보하고 공공데이터와 민간 의료데이터를 결합 활용할 방안(입법 계획을 포함하여)을 ’26년 2분기까지 마련한다.</t>
  </si>
  <si>
    <r>
      <rPr>
        <sz val="11"/>
        <color theme="1"/>
        <rFont val="맑은 고딕"/>
        <family val="2"/>
        <charset val="1"/>
      </rPr>
      <t xml:space="preserve">AI</t>
    </r>
    <r>
      <rPr>
        <sz val="11"/>
        <color theme="1"/>
        <rFont val="Noto Sans CJK SC"/>
        <family val="2"/>
      </rPr>
      <t xml:space="preserve">인재양성지원팀</t>
    </r>
  </si>
  <si>
    <t xml:space="preserve">6-2</t>
  </si>
  <si>
    <t xml:space="preserve">보건의료 빅데이터 플랫폼 활용</t>
  </si>
  <si>
    <t xml:space="preserve">복지부는 ‘독자 AI 파운데이션모델’ 및 보건의료 특화 파운데이션 모델 개발을 위해 보건의료 학습데이터를 이용할 수 있도록 보건의료 빅데이터 플랫폼의 활용 방안을 ’26년 1분기까지 마련한다.</t>
  </si>
  <si>
    <t xml:space="preserve">6-3</t>
  </si>
  <si>
    <t xml:space="preserve">군 의료데이터 통합·활용</t>
  </si>
  <si>
    <t xml:space="preserve">국방부는 군 보유 의료데이터의 통합 및 활용 방안과 AI시범 사업에 대한 계획을 복지부와 협력하여 ’26년 2분기까지 마련한다.</t>
  </si>
  <si>
    <t xml:space="preserve">6-4</t>
  </si>
  <si>
    <t xml:space="preserve">보건의료 데이터플랫폼 연계</t>
  </si>
  <si>
    <t xml:space="preserve">과기정통부는 ‘국가데이터 통합플랫폼’을 통해 보건의료 학습데이터를 이용할 수 있도록 복지부의 보건의료 빅데이터 플랫폼과의 연계 및 협력 방안을 ’26년 1분기까지 마련한다.</t>
  </si>
  <si>
    <r>
      <rPr>
        <sz val="11"/>
        <color theme="1"/>
        <rFont val="맑은 고딕"/>
        <family val="2"/>
        <charset val="1"/>
      </rPr>
      <t xml:space="preserve">07 </t>
    </r>
    <r>
      <rPr>
        <sz val="11"/>
        <color theme="1"/>
        <rFont val="Noto Sans CJK SC"/>
        <family val="2"/>
      </rPr>
      <t xml:space="preserve">국가 과학 </t>
    </r>
    <r>
      <rPr>
        <sz val="11"/>
        <color theme="1"/>
        <rFont val="맑은 고딕"/>
        <family val="2"/>
        <charset val="1"/>
      </rPr>
      <t xml:space="preserve">AI </t>
    </r>
    <r>
      <rPr>
        <sz val="11"/>
        <color theme="1"/>
        <rFont val="Noto Sans CJK SC"/>
        <family val="2"/>
      </rPr>
      <t xml:space="preserve">통합 인프라 및 연구개발 혁신 생태계 구축</t>
    </r>
  </si>
  <si>
    <t xml:space="preserve">7-1</t>
  </si>
  <si>
    <r>
      <rPr>
        <sz val="11"/>
        <color theme="1"/>
        <rFont val="맑은 고딕"/>
        <family val="2"/>
        <charset val="1"/>
      </rPr>
      <t xml:space="preserve">K-</t>
    </r>
    <r>
      <rPr>
        <sz val="11"/>
        <color theme="1"/>
        <rFont val="Noto Sans CJK SC"/>
        <family val="2"/>
      </rPr>
      <t xml:space="preserve">문샷 추진전략</t>
    </r>
  </si>
  <si>
    <t xml:space="preserve">과학 분과</t>
  </si>
  <si>
    <t xml:space="preserve">과기정통부는 AI를 활용한 과학혁신 가속화와 연구생산성의 획기적인 제고를 위해 ’26년 1분기까지 ‘K-문샷 추진 전략’을 수립한다. K-문샷 추진 전략은 ①연구데이터·GPU·AI모델·자율실험실 등 AI 핵심자원을 통합하는 국가과학AI통합플랫폼을 구축하고, ②전략 과학기술 분야와 핵심 난제를 선정하여 임무중심 R&amp;D를 통해 해결하는 것을 목표로 한다. 전략 분야와 난제 해결 방식은 후술하는 행동계획 (14)번 “기초과학 및 전략 과학기술 분야 AI 혁신, AI 연구동료 개발”과 (29)번 “핵심 과학분야 AI파운데이션 모델 확보 및 공공·산업 확산”의 내용을 포함할 수 있다.</t>
  </si>
  <si>
    <t xml:space="preserve">7-2</t>
  </si>
  <si>
    <t xml:space="preserve">국가 연구데이터 수집·관리·활용 기반 구축</t>
  </si>
  <si>
    <t xml:space="preserve">과기정통부는 국가연구개발사업을 통해 생산되는 연구데이터의 수집·관리·활용을 촉진하고, 이를 과학기술 AI 개발 및 고도화에 적극 활용할 수 있도록 제도적 기반을 마련한다. 이를 위해 연구 현장의 의견을 ’26년 1분기까지 폭넓게 수렴하고, 연구데이터의 정의·대상·책무를 명확히 규정하는 연구데이터법 제정이 원활히 추진될 수 있도록 지원한다.</t>
  </si>
  <si>
    <t xml:space="preserve">7-3</t>
  </si>
  <si>
    <t xml:space="preserve">국가 연구데이터 표준·품질 등 활용 체계 구축</t>
  </si>
  <si>
    <t xml:space="preserve">과기정통부는 ’27년 4분기 이내에 국가 표준 메타데이터 체계와 데이터 품질 관리 기준을 단계적으로 수립하여 산·학·연이 국가 연구데이터를 효율적으로 활용할 수 있는 체계를 구축한다. 또한 연구데이터 기여도에 대한 인센티브 제도를 도입하고, 과제 기획 단계에서 수집 데이터의 범위와 내용을 함께 설계하도록 하여 연구데이터의 생산성과 활용성을 높인다. 아울러 연구데이터의 개방·공유·활용을 원칙으로 하되, 국가 경쟁력과 데이터 주권을 보장할 수 있는 보호 체계를 마련하고, 글로벌 연구데이터 협력 네트워크를 강화를 지원하여 연구자와 산업계가 해외 연구데이터에 접근·활용할 수 있는 기반을 조성한다.</t>
  </si>
  <si>
    <t xml:space="preserve">7-4</t>
  </si>
  <si>
    <t xml:space="preserve">과학기술 연구자 GPU 접근 지원</t>
  </si>
  <si>
    <t xml:space="preserve">과기정통부는 과학기술 AI 연구 전용 GPU 확보 및 지원, 연구기관 간 GPU 공동 활용 체계 구축 등을 통해 과학기술 연구자들이 AI 융합 연구에 필요한 GPU 자원에 보다 원활하게 접근할 수 있도록 지원하는 정책을 ’26년 1분기까지 마련하고, 이후 단계적으로 추진한다.</t>
  </si>
  <si>
    <t xml:space="preserve">7-5</t>
  </si>
  <si>
    <t xml:space="preserve">국가과학AI연구소 설립</t>
  </si>
  <si>
    <t xml:space="preserve">과기정통부는 공공 과학데이터와 공공 과학AI 모델을 중심으로 연구·산업·공공 확산의 산·학·연 생태계 허브 역할을 수행할 ‘(가칭)국가과학AI연구소’를 ’26년 1분기까지 설립한다. 이 연구소는 데이터 관리, 과학AI 플랫폼 운영, 프런티어 모델 개발을 담당하며, 국내외 기관과의 협력을 통해 국가 연구 성과가 산업 경쟁력 강화로 이어지도록 견인하는 중추적 역할을 수행한다.</t>
  </si>
  <si>
    <r>
      <rPr>
        <sz val="11"/>
        <color theme="1"/>
        <rFont val="맑은 고딕"/>
        <family val="2"/>
        <charset val="1"/>
      </rPr>
      <t xml:space="preserve">08 </t>
    </r>
    <r>
      <rPr>
        <sz val="11"/>
        <color theme="1"/>
        <rFont val="Noto Sans CJK SC"/>
        <family val="2"/>
      </rPr>
      <t xml:space="preserve">국가 </t>
    </r>
    <r>
      <rPr>
        <sz val="11"/>
        <color theme="1"/>
        <rFont val="맑은 고딕"/>
        <family val="2"/>
        <charset val="1"/>
      </rPr>
      <t xml:space="preserve">AI</t>
    </r>
    <r>
      <rPr>
        <sz val="11"/>
        <color theme="1"/>
        <rFont val="Noto Sans CJK SC"/>
        <family val="2"/>
      </rPr>
      <t xml:space="preserve">･데이터 거버넌스 정립</t>
    </r>
  </si>
  <si>
    <t xml:space="preserve">8-1</t>
  </si>
  <si>
    <t xml:space="preserve">국가 AI·데이터 거버넌스 정립</t>
  </si>
  <si>
    <t xml:space="preserve">국가AI전략위는 민간･공공데이터의 관리와 활용 및 국가 차원의 인공지능 기술개발을 위한 인프라 구축, 인재 확보, 규제혁신의 실행 주체 및 의사결정 체계로서의 국가 CTO 체계 마련과 국가 CDO 체계 정비, 국가 CTO-CAIO-CDO 간의 역할 구분 및 유기적 협업 등이 포함된 종합계획을 ’26년 2분기 이내에 마련한다.</t>
  </si>
  <si>
    <t xml:space="preserve">국가AI전략위</t>
  </si>
  <si>
    <t xml:space="preserve">8-2</t>
  </si>
  <si>
    <t xml:space="preserve">국가 AI·데이터 거버넌스 제도화</t>
  </si>
  <si>
    <t xml:space="preserve">부총리인 과기정통부를 중심으로 행안부, 산업부, 국가데이터처를 포함한 관계 부처는 국가AI전략위가 마련한 종합계획에 따른 거버넌스 실행계획을 ’26년 3분기까지 마련하고 관련 법령 개정안을 정부안으로 마련하여 ’26년 4분기까지 국회에 제출한다.</t>
  </si>
  <si>
    <t xml:space="preserve">국가AI전략위, 국가데이터처, 산업부, 행안부</t>
  </si>
  <si>
    <t xml:space="preserve">8-3</t>
  </si>
  <si>
    <t xml:space="preserve">국가 CTO 체계 운영</t>
  </si>
  <si>
    <t xml:space="preserve">법령 개정을 통한 거버넌스 종합 개편이 완료되기 이전까지 과기정통부는 과학기술부총리로서 관련 대통령령(예: 국가 CTO 설치 및 운영 규정)을 신설하여 국가 CTO 체계를 운영한다.</t>
  </si>
  <si>
    <r>
      <rPr>
        <sz val="11"/>
        <color theme="1"/>
        <rFont val="맑은 고딕"/>
        <family val="2"/>
        <charset val="1"/>
      </rPr>
      <t xml:space="preserve">09 </t>
    </r>
    <r>
      <rPr>
        <sz val="11"/>
        <color theme="1"/>
        <rFont val="Noto Sans CJK SC"/>
        <family val="2"/>
      </rPr>
      <t xml:space="preserve">민간</t>
    </r>
    <r>
      <rPr>
        <sz val="11"/>
        <color theme="1"/>
        <rFont val="맑은 고딕"/>
        <family val="2"/>
        <charset val="1"/>
      </rPr>
      <t xml:space="preserve">·</t>
    </r>
    <r>
      <rPr>
        <sz val="11"/>
        <color theme="1"/>
        <rFont val="Noto Sans CJK SC"/>
        <family val="2"/>
      </rPr>
      <t xml:space="preserve">공공 </t>
    </r>
    <r>
      <rPr>
        <sz val="11"/>
        <color theme="1"/>
        <rFont val="맑은 고딕"/>
        <family val="2"/>
        <charset val="1"/>
      </rPr>
      <t xml:space="preserve">AI </t>
    </r>
    <r>
      <rPr>
        <sz val="11"/>
        <color theme="1"/>
        <rFont val="Noto Sans CJK SC"/>
        <family val="2"/>
      </rPr>
      <t xml:space="preserve">보안 생태계 활성화 및 정보보호산업 자생력 확보</t>
    </r>
  </si>
  <si>
    <t xml:space="preserve">9-1</t>
  </si>
  <si>
    <t xml:space="preserve">정보보호 인증체계와 연계한 기업 보안 취약점 파악·관리 강화</t>
  </si>
  <si>
    <t xml:space="preserve">보안 특위</t>
  </si>
  <si>
    <t xml:space="preserve">과기정통부는 개인정보위와 협력하여 ISMS 인증 및 ISMS-P 인증 체계안에 기업의 IT 자산에 대한 취약점 파악 및 관리가 가능하도록 하는‘공격 표면 관리 점검’ 방법을 ’26년 2분기까지 반영하도록 한다.</t>
  </si>
  <si>
    <t xml:space="preserve">개인정보위</t>
  </si>
  <si>
    <t xml:space="preserve">9-10</t>
  </si>
  <si>
    <r>
      <rPr>
        <sz val="11"/>
        <color theme="1"/>
        <rFont val="맑은 고딕"/>
        <family val="2"/>
        <charset val="1"/>
      </rPr>
      <t xml:space="preserve">AI </t>
    </r>
    <r>
      <rPr>
        <sz val="11"/>
        <color theme="1"/>
        <rFont val="Noto Sans CJK SC"/>
        <family val="2"/>
      </rPr>
      <t xml:space="preserve">보안 유망기업 집중 육성</t>
    </r>
  </si>
  <si>
    <t xml:space="preserve">과기정통부는 차세대 AI 기술(예: AI 에이전트, 물리형 AI 등)의 보안을 책임질 유망기업을 대상으로 R&amp;D 자금지원, 시제품 개발·검증, 보안 인증 및 규제 대응 컨설팅, 시장·해외진출 지원 등을 포함한 집중 육성 프로그램을 운영한다. 또한, 금융·제조·의료 등 산업별로 특화된 보안기업을 선정하여, 기획-개발-시험-사업화-고도화에 이르는 전 주기 지원체계를 제공한다. 아울러, 이러한 기업의 시험·검증·실증을 뒷받침하기 위한 ‘통합 보안 지원센터’를 ’26년 4분기까지 구축한다.</t>
  </si>
  <si>
    <t xml:space="preserve">9-2</t>
  </si>
  <si>
    <t xml:space="preserve">보안 취약점 신고·조치·공개 제도(CVD/VDP) 도입 로드맵 마련</t>
  </si>
  <si>
    <t xml:space="preserve">국가AI전략위는 기존 사후 대응의 한계를 넘어 사전적이고 상시적인 정보통신망 보안 제도로의 패러다임 변화를 위해 美, EU가 이미 채택·운영 중인 취약점 신고·조치·공개 제도(CVD/VDP, Coordinated Vulnerability Disclosure/ Vulnerability Disclosure Policy)에 대한 국내 민간·공공 도입 로드맵을 ‘26년 1분기까지 마련한다.</t>
  </si>
  <si>
    <t xml:space="preserve">9-3</t>
  </si>
  <si>
    <t xml:space="preserve">화이트해커 활용 취약점 사전 발굴사업 시범 운영</t>
  </si>
  <si>
    <t xml:space="preserve">과기정통부와 국정원은 화이트해커가 민간·공공분야 정보통신망 서비스 및 디지털 제품(소프트웨어, 하드웨어 등)의 보안 취약점을 사전에 발굴하는 활동을 합법적으로 수행할 수 있도록 해당 활동에 참여하는 피대상 기업·기관(공공기관 포함)을 지속 확대하는 한편, 참여 피대상 기업·기관을 대상으로 하는 시범사업을 ’26년 4분기까지 우선 진행한다.</t>
  </si>
  <si>
    <t xml:space="preserve">과기정통부, 국정원</t>
  </si>
  <si>
    <t xml:space="preserve">9-4</t>
  </si>
  <si>
    <r>
      <rPr>
        <sz val="11"/>
        <color theme="1"/>
        <rFont val="맑은 고딕"/>
        <family val="2"/>
        <charset val="1"/>
      </rPr>
      <t xml:space="preserve">CVD/VDP </t>
    </r>
    <r>
      <rPr>
        <sz val="11"/>
        <color theme="1"/>
        <rFont val="Noto Sans CJK SC"/>
        <family val="2"/>
      </rPr>
      <t xml:space="preserve">가이드라인 마련 및 참여 촉진</t>
    </r>
  </si>
  <si>
    <t xml:space="preserve">과기정통부와 국정원은 국가AI전략위가 마련한 로드맵에 따라 유관기관과 협력하여 민간·공공분야 정보통신망 서비스 및 디지털 제품의 보안 취약점을 효과적으로 발굴, 신고, 조치, 공개하는 협력적 가이드라인과 화이트해커의 참여 촉진 방안을 ’26년 4분기까지 마련하고 CVD/VDP 관리 전문 기관을 지정한다.</t>
  </si>
  <si>
    <t xml:space="preserve">9-5</t>
  </si>
  <si>
    <r>
      <rPr>
        <sz val="11"/>
        <color theme="1"/>
        <rFont val="맑은 고딕"/>
        <family val="2"/>
        <charset val="1"/>
      </rPr>
      <t xml:space="preserve">CVD/VDP </t>
    </r>
    <r>
      <rPr>
        <sz val="11"/>
        <color theme="1"/>
        <rFont val="Noto Sans CJK SC"/>
        <family val="2"/>
      </rPr>
      <t xml:space="preserve">운영 기관 인센티브 부여</t>
    </r>
  </si>
  <si>
    <t xml:space="preserve">과기정통부, 국정원, 기획예산처, 조달청, 개인정보위는 디지털 제품 및 서비스에 대한 취약점 발굴·신고·공개 정책을 운영하는 민간기업·공공기관에 대해 보안인증 가점, 실태평가 연계, 제도운영 예산 확보 지원, 정부 사업 입찰 우대, 사고 발생시 과징금 경감 등 다양한 인센티브를 제공하는 방안을 ’26년 4분기까지 마련한다.</t>
  </si>
  <si>
    <t xml:space="preserve">개인정보위, 기획처, 조달청</t>
  </si>
  <si>
    <t xml:space="preserve">9-6</t>
  </si>
  <si>
    <r>
      <rPr>
        <sz val="11"/>
        <color theme="1"/>
        <rFont val="맑은 고딕"/>
        <family val="2"/>
        <charset val="1"/>
      </rPr>
      <t xml:space="preserve">CVD/VDP </t>
    </r>
    <r>
      <rPr>
        <sz val="11"/>
        <color theme="1"/>
        <rFont val="Noto Sans CJK SC"/>
        <family val="2"/>
      </rPr>
      <t xml:space="preserve">민간</t>
    </r>
    <r>
      <rPr>
        <sz val="11"/>
        <color theme="1"/>
        <rFont val="맑은 고딕"/>
        <family val="2"/>
        <charset val="1"/>
      </rPr>
      <t xml:space="preserve">·</t>
    </r>
    <r>
      <rPr>
        <sz val="11"/>
        <color theme="1"/>
        <rFont val="Noto Sans CJK SC"/>
        <family val="2"/>
      </rPr>
      <t xml:space="preserve">공공 제도화</t>
    </r>
  </si>
  <si>
    <t xml:space="preserve">과기정통부와 국정원은 ’26년 4분기까지 수행된 시범사업 등의 결과를 바탕으로 민간·공공에 걸친 CVD/VDP 제도화를 위한 관련 법·제도 개선을 ’27년 내 추진하며 법무부, 문체부, 개인정보위 등 관계부처는 이를 위한 소관 법률, 관계 하위법령 개정 등에 협조한다.</t>
  </si>
  <si>
    <t xml:space="preserve">개인정보위, 문체부, 법무부</t>
  </si>
  <si>
    <t xml:space="preserve">9-7</t>
  </si>
  <si>
    <t xml:space="preserve">중소기업 AI 보안 솔루션 자체 개발 및 국산 솔루션 활용 지원</t>
  </si>
  <si>
    <t xml:space="preserve">과기정통부는 재정경제부와 협력해 중소기업의 국산 AI 보안 솔루션 도입 및 신규 보안 기술 R&amp;D에 대한 세제지원을 통해 외산 의존도를 낮추고 국내 기업의 기술개발을 촉진하는 정책을 신속히 마련하고, ’27년 1분기까지 단계적으로 추진한다.</t>
  </si>
  <si>
    <t xml:space="preserve">재경부</t>
  </si>
  <si>
    <t xml:space="preserve">9-8</t>
  </si>
  <si>
    <t xml:space="preserve">사이버 보안 펀드 확대 및 지원 강화</t>
  </si>
  <si>
    <t xml:space="preserve">과기정통부는 AI 보안 생태계 활성화를 위해 사이버 보안 펀드를 확대하고, 중기부와 협력해 중소·영세기업의 AI 보안 솔루션 도입을 지원해 ’26년 4분기까지 국가 전반의 보안 수준을 제고한다.</t>
  </si>
  <si>
    <t xml:space="preserve">9-9</t>
  </si>
  <si>
    <t xml:space="preserve">중소기업 AI 보안 역량 강화(긴급복구 지원 등)</t>
  </si>
  <si>
    <t xml:space="preserve">과기정통부는 기획예산처와 협력하여 ’26년 4분기까지 AI 시스템에 대한 공격(AI 모델 오염·데이터 유출·프롬프트 인젝션 등), AI를 이용한 공격(AI 특화 침해사고, AI 기반 악성코드·딥페이크 공격 등)으로 피해를 입은 중소기업에 대한 긴급 복구 지원을 제공하고, 동시에 AI 보안 전문인력·도구·가이드 제공 등 역량 확보 프로그램을 지원한다. 중소기업 대상 AI 보안 솔루션 구매, AI 취약점 점검 서비스, 클라우드 기반 AI 보안 서비스(AI-SECaaS) 구독료 지원 등의 사업을 추진하여 AI 보안 사각지대를 해소하고 국내 AI 보안 산업 생태계의 선순환 구조를 만든다.</t>
  </si>
  <si>
    <t xml:space="preserve">기획처</t>
  </si>
  <si>
    <r>
      <rPr>
        <sz val="11"/>
        <color theme="1"/>
        <rFont val="맑은 고딕"/>
        <family val="2"/>
        <charset val="1"/>
      </rPr>
      <t xml:space="preserve">10 AI </t>
    </r>
    <r>
      <rPr>
        <sz val="11"/>
        <color theme="1"/>
        <rFont val="Noto Sans CJK SC"/>
        <family val="2"/>
      </rPr>
      <t xml:space="preserve">기반의 사이버 보안 체계 구축</t>
    </r>
    <r>
      <rPr>
        <sz val="11"/>
        <color theme="1"/>
        <rFont val="맑은 고딕"/>
        <family val="2"/>
        <charset val="1"/>
      </rPr>
      <t xml:space="preserve">, AI </t>
    </r>
    <r>
      <rPr>
        <sz val="11"/>
        <color theme="1"/>
        <rFont val="Noto Sans CJK SC"/>
        <family val="2"/>
      </rPr>
      <t xml:space="preserve">보안 기술 경쟁력 강화 및 보안 전문 인재 양성</t>
    </r>
  </si>
  <si>
    <t xml:space="preserve">10-1</t>
  </si>
  <si>
    <r>
      <rPr>
        <sz val="11"/>
        <color theme="1"/>
        <rFont val="맑은 고딕"/>
        <family val="2"/>
        <charset val="1"/>
      </rPr>
      <t xml:space="preserve">K-</t>
    </r>
    <r>
      <rPr>
        <sz val="11"/>
        <color theme="1"/>
        <rFont val="Noto Sans CJK SC"/>
        <family val="2"/>
      </rPr>
      <t xml:space="preserve">사이버 보안 </t>
    </r>
    <r>
      <rPr>
        <sz val="11"/>
        <color theme="1"/>
        <rFont val="맑은 고딕"/>
        <family val="2"/>
        <charset val="1"/>
      </rPr>
      <t xml:space="preserve">LLM </t>
    </r>
    <r>
      <rPr>
        <sz val="11"/>
        <color theme="1"/>
        <rFont val="Noto Sans CJK SC"/>
        <family val="2"/>
      </rPr>
      <t xml:space="preserve">구축</t>
    </r>
  </si>
  <si>
    <t xml:space="preserve">과기정통부는 글로벌 빅테크 기업의 범용 LLM에 대한 기술 종속을 탈피하고 국내 민감 위협 정보의 외부 유출을 방지하기 위해, 한국의 사이버 위협 환경에서 알려진 위협 및 알려지지 않은 신종·변종 위협의 분석이 가능한 ‘K-사이버 보안 LLM’을 구축한다. K-사이버 보안 LLM의 지속 학습과 ‘사후 대응’에서 ‘예측·예방’으로의 전환을 위해, 국정원 등 관계 부처와 협력하여 정부 및 공공기관에 AI 기반의 이상(anomaly) 탐지 체계를 구축하고 이를 통해 징후가 포착된 알려지지 않은 신종·변종 위협 데이터를 정제하여 K-사이버 보안 LLM의 학습데이터로 반영하고, 이를 기반으로 ‘탐지→분석→학습’ 과정을 반복하여 알려지지 않은 위협의 사전 징후 분석과 대응의 정확도 및 신뢰도가 향상되는 체계를 구축하고 적용하는 방안을 ’26년 2분기까지 수립하고 ’26년부터 추진한다.</t>
  </si>
  <si>
    <t xml:space="preserve">국정원</t>
  </si>
  <si>
    <t xml:space="preserve">10-2</t>
  </si>
  <si>
    <t xml:space="preserve">민간주도 AI 정보공유 분석센터 설립</t>
  </si>
  <si>
    <t xml:space="preserve">과기정통부는 AI 보안 위협 대응을 위한 민간 주도 AI 정보 공유 분석센터(AI-ISAC)를 ’26년 4분기까지 설립하고, 향후 개발 및 적용 예정인 독자적인 AI 모델을 상시 점검하는 체계를 ’26년 4분기까지 구축한다.</t>
  </si>
  <si>
    <t xml:space="preserve">10-3</t>
  </si>
  <si>
    <t xml:space="preserve">차세대 AI 보안 R&amp;D 투자 확대</t>
  </si>
  <si>
    <t xml:space="preserve">과기정통부는 AI 모델·시스템의 보안 내재화, AI 기반 공격 탐지 및 방어, 양자 내성 암호 전환 등 차세대 보안 기술 주도권을 확보하기 위해 AI, 양자 등 차세대 보안 기술 개발 투자를 전체 R&amp;D 예산의 3% 수준으로 ’30년까지 대폭 확대한다.</t>
  </si>
  <si>
    <t xml:space="preserve">10-4</t>
  </si>
  <si>
    <r>
      <rPr>
        <sz val="11"/>
        <color theme="1"/>
        <rFont val="맑은 고딕"/>
        <family val="2"/>
        <charset val="1"/>
      </rPr>
      <t xml:space="preserve">AI </t>
    </r>
    <r>
      <rPr>
        <sz val="11"/>
        <color theme="1"/>
        <rFont val="Noto Sans CJK SC"/>
        <family val="2"/>
      </rPr>
      <t xml:space="preserve">에이전트 및 피지컬 </t>
    </r>
    <r>
      <rPr>
        <sz val="11"/>
        <color theme="1"/>
        <rFont val="맑은 고딕"/>
        <family val="2"/>
        <charset val="1"/>
      </rPr>
      <t xml:space="preserve">AI </t>
    </r>
    <r>
      <rPr>
        <sz val="11"/>
        <color theme="1"/>
        <rFont val="Noto Sans CJK SC"/>
        <family val="2"/>
      </rPr>
      <t xml:space="preserve">보안 체계적 대응</t>
    </r>
  </si>
  <si>
    <t xml:space="preserve">과기정통부와 개인정보위는 향후 AI 에이전트·피지컬AI의 도입·확산에 대비해 AI 에이전트·피지컬AI를 이용한 자동화 업무로 인해 발생할 수 있는 오작동·권한 오남용·정책 우회, 개인정보 유출 등의 위험을 체계적으로 차단하기 위한 기술적·관리적 대응 방안을 ’26년 4분기까지 수립한다.</t>
  </si>
  <si>
    <t xml:space="preserve">과기정통부, 개인정보위</t>
  </si>
  <si>
    <t xml:space="preserve">10-5</t>
  </si>
  <si>
    <t xml:space="preserve">고영향 AI 개인정보 안전성 확보</t>
  </si>
  <si>
    <t xml:space="preserve">개인정보위는 개인정보를 학습하는 고영향 AI의 내·외부 취약점 점검 등 개인정보 유출을 방지하기 위한 안전성 확보 방안을 ’27년 4분기까지 마련한다.</t>
  </si>
  <si>
    <t xml:space="preserve">10-6</t>
  </si>
  <si>
    <r>
      <rPr>
        <sz val="11"/>
        <color theme="1"/>
        <rFont val="맑은 고딕"/>
        <family val="2"/>
        <charset val="1"/>
      </rPr>
      <t xml:space="preserve">AI </t>
    </r>
    <r>
      <rPr>
        <sz val="11"/>
        <color theme="1"/>
        <rFont val="Noto Sans CJK SC"/>
        <family val="2"/>
      </rPr>
      <t xml:space="preserve">보안 인재 양성</t>
    </r>
  </si>
  <si>
    <t xml:space="preserve">과기정통부는 AI 보안 인력에 대한 수요 조사를 추진하고, 이를 근거로 실전형 훈련에 기반한 AI 보안 인재 양성 방안 목표를 ’26년 4분기까지 수립한다.</t>
  </si>
  <si>
    <t xml:space="preserve">10-7</t>
  </si>
  <si>
    <r>
      <rPr>
        <sz val="11"/>
        <color theme="1"/>
        <rFont val="맑은 고딕"/>
        <family val="2"/>
        <charset val="1"/>
      </rPr>
      <t xml:space="preserve">AI </t>
    </r>
    <r>
      <rPr>
        <sz val="11"/>
        <color theme="1"/>
        <rFont val="Noto Sans CJK SC"/>
        <family val="2"/>
      </rPr>
      <t xml:space="preserve">보안 인력 관리 플랫폼 구축</t>
    </r>
  </si>
  <si>
    <t xml:space="preserve">과기정통부는 교육부, 노동부, 개인정보위 등 관계 부처와 협력하여 정부 지원으로 양성된 AI 보안 인재의 정보 통합 관리 및 기업의 채용 수요와 연계하는 ‘AI 보안 인력 관리 플랫폼’ 구축을 ’27년 4분기까지 추진한다.</t>
  </si>
  <si>
    <t xml:space="preserve">개인정보위, 교육부, 노동부</t>
  </si>
  <si>
    <r>
      <rPr>
        <sz val="11"/>
        <color theme="1"/>
        <rFont val="맑은 고딕"/>
        <family val="2"/>
        <charset val="1"/>
      </rPr>
      <t xml:space="preserve">11 AI </t>
    </r>
    <r>
      <rPr>
        <sz val="11"/>
        <color theme="1"/>
        <rFont val="Noto Sans CJK SC"/>
        <family val="2"/>
      </rPr>
      <t xml:space="preserve">시대</t>
    </r>
    <r>
      <rPr>
        <sz val="11"/>
        <color theme="1"/>
        <rFont val="맑은 고딕"/>
        <family val="2"/>
        <charset val="1"/>
      </rPr>
      <t xml:space="preserve">, </t>
    </r>
    <r>
      <rPr>
        <sz val="11"/>
        <color theme="1"/>
        <rFont val="Noto Sans CJK SC"/>
        <family val="2"/>
      </rPr>
      <t xml:space="preserve">넥스트 </t>
    </r>
    <r>
      <rPr>
        <sz val="11"/>
        <color theme="1"/>
        <rFont val="맑은 고딕"/>
        <family val="2"/>
        <charset val="1"/>
      </rPr>
      <t xml:space="preserve">AI </t>
    </r>
    <r>
      <rPr>
        <sz val="11"/>
        <color theme="1"/>
        <rFont val="Noto Sans CJK SC"/>
        <family val="2"/>
      </rPr>
      <t xml:space="preserve">안보 위협 대응 및 협력 강화 </t>
    </r>
  </si>
  <si>
    <t xml:space="preserve">11-1</t>
  </si>
  <si>
    <t xml:space="preserve">국정원 AI 안보 활동 수행</t>
  </si>
  <si>
    <t xml:space="preserve">국정원의 AI 안보 활동은 국가안보를 중심으로 관계 법령에 따라 수행한다. 민간 부문과 관련된 AI 보안 사안에 대해서는 관계 부처의 요청에 따른 협력·지원 원칙을 적용한다. 공공 부문에 도입·연계된 AI 시스템에 대해서는 국가안보에 영향을 미치는 사안에 한해, 관계 부처와의 협력 체계 하에서 수행한다. 국정원의 AI 안보 활동 및 관련 예산은 국회 보고 등 법정 절차에 따른다.</t>
  </si>
  <si>
    <t xml:space="preserve">11-2</t>
  </si>
  <si>
    <t xml:space="preserve">사이버 AI 안보 플랫폼 구축</t>
  </si>
  <si>
    <t xml:space="preserve">국정원은 AI를 활용한 사이버 위협(딥페이크, 악성코드 생성 등)에 대해 기술적으로 선제적 탐지·차단하는 독자적인 ‘사이버 AI 안보 플랫폼’ 구축을 위한 정보화 전략 계획을 ’26년 4분기까지 수립하고, ‘딥페이크 등 허위 정보 판별 기술’ 고도화 계획을 ’26년 2분기까지 마련한다.</t>
  </si>
  <si>
    <t xml:space="preserve">11-3</t>
  </si>
  <si>
    <t xml:space="preserve">공공 분야 대상 AI 안전성·프라이버시 레드티밍 및 상시 모의해킹 체계 구축</t>
  </si>
  <si>
    <t xml:space="preserve">국정원은 공공분야 대상으로, 과기정통부, 개인정보위 등과 협력하여, 민간 AI 보안 전문기업과 화이트해커가 참여하는 AI 안전성·프라이버시 레드티밍 체계 및 상시 모의해킹 테스트베드를 ’27년 2분기까지 구축한다.</t>
  </si>
  <si>
    <t xml:space="preserve">개인정보위, 과기정통부</t>
  </si>
  <si>
    <t xml:space="preserve">11-4</t>
  </si>
  <si>
    <t xml:space="preserve">글로벌 AI 안보 연대 강화</t>
  </si>
  <si>
    <t xml:space="preserve">국정원은 외교부와 협력하여 AI에 대한 그리고 AI로 발생하는 각종 안보 위협에 대응하기 위해 주요국 정보기관과 글로벌 AI 안보 연대를 강화하여 AI 위협 관련 정보·기술 공유를 지속 추진하는 한편, AI 안보 현안에 대한 주요국 정보기관과의 공동 대응 전략 수립 등 합동 사업을 지속 구체화한다.</t>
  </si>
  <si>
    <t xml:space="preserve">외교부</t>
  </si>
  <si>
    <t xml:space="preserve">11-5</t>
  </si>
  <si>
    <r>
      <rPr>
        <sz val="11"/>
        <color theme="1"/>
        <rFont val="맑은 고딕"/>
        <family val="2"/>
        <charset val="1"/>
      </rPr>
      <t xml:space="preserve">CBRN </t>
    </r>
    <r>
      <rPr>
        <sz val="11"/>
        <color theme="1"/>
        <rFont val="Noto Sans CJK SC"/>
        <family val="2"/>
      </rPr>
      <t xml:space="preserve">위협 대비 기술개발</t>
    </r>
    <r>
      <rPr>
        <sz val="11"/>
        <color theme="1"/>
        <rFont val="맑은 고딕"/>
        <family val="2"/>
        <charset val="1"/>
      </rPr>
      <t xml:space="preserve">·</t>
    </r>
    <r>
      <rPr>
        <sz val="11"/>
        <color theme="1"/>
        <rFont val="Noto Sans CJK SC"/>
        <family val="2"/>
      </rPr>
      <t xml:space="preserve">국제협력 강화</t>
    </r>
  </si>
  <si>
    <t xml:space="preserve">국정원은 복지부, 질병청, 과기정통부, 원안위, 국방부, 외교부 등과 협력하여 AI가 초래할 수 있는 국가 안보 위협인 CBRN(화학, 생물학, 방사능, 핵)에도 대비하기 위해, 관련 기술개발과 국제협력 강화를 추진한다.</t>
  </si>
  <si>
    <t xml:space="preserve">과기정통부, 국방부, 외교부, 질병청</t>
  </si>
  <si>
    <t xml:space="preserve">11-6</t>
  </si>
  <si>
    <r>
      <rPr>
        <sz val="11"/>
        <color theme="1"/>
        <rFont val="맑은 고딕"/>
        <family val="2"/>
        <charset val="1"/>
      </rPr>
      <t xml:space="preserve">AI </t>
    </r>
    <r>
      <rPr>
        <sz val="11"/>
        <color theme="1"/>
        <rFont val="Noto Sans CJK SC"/>
        <family val="2"/>
      </rPr>
      <t xml:space="preserve">기술유출 범정부 대응 강화</t>
    </r>
  </si>
  <si>
    <t xml:space="preserve">지식재산처는 AI 관련 첨단기술이 해외로 유출되는 것을 방지하기 위해, 특허 빅데이터 등을 활용하여 기술 유출 위험 영역 및 위험 경보를 분석하고, 분석 결과의 관계기관 공유를 통한 범정부 차원의 기술 유출 대응 강화를 지속적으로 추진하는 한편, AI 기반 기술 유출 위험 경보 체계 구축을 위한 방법론을 ’26년까지 고도화한다.</t>
  </si>
  <si>
    <t xml:space="preserve">지재처</t>
  </si>
  <si>
    <t xml:space="preserve">전략분야 10) AI기반 국방 강국</t>
  </si>
  <si>
    <r>
      <rPr>
        <sz val="11"/>
        <color theme="1"/>
        <rFont val="맑은 고딕"/>
        <family val="2"/>
        <charset val="1"/>
      </rPr>
      <t xml:space="preserve">74 </t>
    </r>
    <r>
      <rPr>
        <sz val="11"/>
        <color theme="1"/>
        <rFont val="Noto Sans CJK SC"/>
        <family val="2"/>
      </rPr>
      <t xml:space="preserve">국방 </t>
    </r>
    <r>
      <rPr>
        <sz val="11"/>
        <color theme="1"/>
        <rFont val="맑은 고딕"/>
        <family val="2"/>
        <charset val="1"/>
      </rPr>
      <t xml:space="preserve">AI </t>
    </r>
    <r>
      <rPr>
        <sz val="11"/>
        <color theme="1"/>
        <rFont val="Noto Sans CJK SC"/>
        <family val="2"/>
      </rPr>
      <t xml:space="preserve">거버넌스 혁신으로 국방 </t>
    </r>
    <r>
      <rPr>
        <sz val="11"/>
        <color theme="1"/>
        <rFont val="맑은 고딕"/>
        <family val="2"/>
        <charset val="1"/>
      </rPr>
      <t xml:space="preserve">AI </t>
    </r>
    <r>
      <rPr>
        <sz val="11"/>
        <color theme="1"/>
        <rFont val="Noto Sans CJK SC"/>
        <family val="2"/>
      </rPr>
      <t xml:space="preserve">추진체계 재설계</t>
    </r>
  </si>
  <si>
    <t xml:space="preserve">74-1</t>
  </si>
  <si>
    <t xml:space="preserve">국방 AI 거버넌스 혁신</t>
  </si>
  <si>
    <t xml:space="preserve">국방·안보 분과</t>
  </si>
  <si>
    <t xml:space="preserve">국방부는 ‘26년 2분기까지 국방분야 AX 추진을 위한 국방부 내 전담 조직(국방 CAIO) 및 관리체계(국방 AI 위원회, 국방 AI 자문위원회)를 수립하고, 국방부를 중심으로 방위사업청, 합참, 각군 및 기관과 협력하여 국방 AI 거버넌스 혁신 로드맵을 제시한다. 이 로드맵은 배경에서 서술한 문제점들에 대한 올바른 해결방안을 포함해야 한다.</t>
  </si>
  <si>
    <t xml:space="preserve">공공AI혁신팀</t>
  </si>
  <si>
    <t xml:space="preserve">74-2</t>
  </si>
  <si>
    <t xml:space="preserve">국방인공지능법 제정 및 단기 조치 실행</t>
  </si>
  <si>
    <t xml:space="preserve">국방부는 국방분야 AX 추진 근거와 전담 조직 운영 및 관리체계 정립을 위하여 국방 AI의 특성을 고려한 ｢(가칭) 국방인공지능법｣ 제정안을 ‘26년 2분기까지 발의하여 이와 연계하여 국방 AI를 추진한다. 이를 기반으로 국방 AI 연구 및 운용 조직의 역할과 책임 재조정, 국방 데이터 수집·공유·검증 절차의 표준화, 국방 AI 모델의 평가·인증 프로세스 신설, 민군 공동 실험 및 신속 배치 프로그램 착수 등의 단기 실천 조치들을 ‘26년 내에 즉시 실행한다.</t>
  </si>
  <si>
    <t xml:space="preserve">74-3</t>
  </si>
  <si>
    <t xml:space="preserve">국방 AI 추진체계 통합 및 재설계를 통한 연차별 국방 AI 개혁</t>
  </si>
  <si>
    <t xml:space="preserve">국방부는 국방 AI 거버넌스 혁신을 통해 AI의 전군 활용을 촉진한다. 현재 국방 AI 관련 분절적·비일관적 추진체계를 극복하고 통합적·기민한 국방 AI 추진체계의 재설계를 통해 국방 AI관련 정책, 연구개발, 인프라, 인력, 제도 등의 개혁을 ‘30년까지 연차별로 추진한다.</t>
  </si>
  <si>
    <r>
      <rPr>
        <sz val="11"/>
        <color theme="1"/>
        <rFont val="맑은 고딕"/>
        <family val="2"/>
        <charset val="1"/>
      </rPr>
      <t xml:space="preserve">75 </t>
    </r>
    <r>
      <rPr>
        <sz val="11"/>
        <color theme="1"/>
        <rFont val="Noto Sans CJK SC"/>
        <family val="2"/>
      </rPr>
      <t xml:space="preserve">국방 </t>
    </r>
    <r>
      <rPr>
        <sz val="11"/>
        <color theme="1"/>
        <rFont val="맑은 고딕"/>
        <family val="2"/>
        <charset val="1"/>
      </rPr>
      <t xml:space="preserve">AI </t>
    </r>
    <r>
      <rPr>
        <sz val="11"/>
        <color theme="1"/>
        <rFont val="Noto Sans CJK SC"/>
        <family val="2"/>
      </rPr>
      <t xml:space="preserve">기술 및 체계 획득 제도 개편</t>
    </r>
  </si>
  <si>
    <t xml:space="preserve">75-1</t>
  </si>
  <si>
    <r>
      <rPr>
        <sz val="11"/>
        <color theme="1"/>
        <rFont val="맑은 고딕"/>
        <family val="2"/>
        <charset val="1"/>
      </rPr>
      <t xml:space="preserve">AI </t>
    </r>
    <r>
      <rPr>
        <sz val="11"/>
        <color theme="1"/>
        <rFont val="Noto Sans CJK SC"/>
        <family val="2"/>
      </rPr>
      <t xml:space="preserve">기술 특성을 반영한 국방 </t>
    </r>
    <r>
      <rPr>
        <sz val="11"/>
        <color theme="1"/>
        <rFont val="맑은 고딕"/>
        <family val="2"/>
        <charset val="1"/>
      </rPr>
      <t xml:space="preserve">AI </t>
    </r>
    <r>
      <rPr>
        <sz val="11"/>
        <color theme="1"/>
        <rFont val="Noto Sans CJK SC"/>
        <family val="2"/>
      </rPr>
      <t xml:space="preserve">획득체계 마련</t>
    </r>
  </si>
  <si>
    <t xml:space="preserve">국방부(방사청)는 ‘26년 2분기까지 AI 기술의 빠른 변화 주기, 데이터 학습을 통한 지속적인 기능 향상 등 기술의 특성을 반영한 국방 AI 획득체계를 마련하여, 무기체계, 전력지원체계(정보체계 포함)로 이원화되어 있는 국방 AI 기술개발 및 체계 적용(획득, 전력화, 운영·유지 등) 구조를 하나로 통합하는 계획을 제시한다.</t>
  </si>
  <si>
    <t xml:space="preserve">75-2</t>
  </si>
  <si>
    <t xml:space="preserve">국방 AI 체계의 반복적·지속적 개선·배포</t>
  </si>
  <si>
    <t xml:space="preserve">국방부(방사청)는 ‘26년 3분기부터 실전 환경 기반의 신속 실증, 모듈형 인증, 지속적 갱신(업데이트) 체계를 도입하여 국방 AI 체계를 반복적이고 지속적으로 개선, 배포한다.</t>
  </si>
  <si>
    <t xml:space="preserve">75-3</t>
  </si>
  <si>
    <t xml:space="preserve">국방 AI 체계의 개발 지연 및 운용 격차 해소</t>
  </si>
  <si>
    <t xml:space="preserve">국방부(방사청)는 ‘26년 2분기 AI 획득제도 개편을 통해 ‘26년 3분기 부터 국방 AI체계의 개발 지연과 운용 격차를 해소하는 방식 도입을 가속화하여 ‘30년까지 AI 기능 업데이트 리드타임(전력화 주기)을 최소 반기 단위(전력지원체계는 분기 단위)로 단축한다.</t>
  </si>
  <si>
    <r>
      <rPr>
        <sz val="11"/>
        <color theme="1"/>
        <rFont val="맑은 고딕"/>
        <family val="2"/>
        <charset val="1"/>
      </rPr>
      <t xml:space="preserve">76 </t>
    </r>
    <r>
      <rPr>
        <sz val="11"/>
        <color theme="1"/>
        <rFont val="Noto Sans CJK SC"/>
        <family val="2"/>
      </rPr>
      <t xml:space="preserve">국방 데이터 및 클라우드 기반 민군 협력 촉진</t>
    </r>
    <r>
      <rPr>
        <sz val="11"/>
        <color theme="1"/>
        <rFont val="맑은 고딕"/>
        <family val="2"/>
        <charset val="1"/>
      </rPr>
      <t xml:space="preserve">·</t>
    </r>
    <r>
      <rPr>
        <sz val="11"/>
        <color theme="1"/>
        <rFont val="Noto Sans CJK SC"/>
        <family val="2"/>
      </rPr>
      <t xml:space="preserve">활성화</t>
    </r>
  </si>
  <si>
    <t xml:space="preserve">76-1</t>
  </si>
  <si>
    <t xml:space="preserve">국방 데이터 이니셔티브 수립 및 국방클라우드 보안제도 마련</t>
  </si>
  <si>
    <t xml:space="preserve">국방부는 ‘26년 2분기까지 국방데이터의 보안등급에 따라 국방데이터를수집·분류하는 기준이 포함된 계획(가칭‘국방 데이터 이니셔티브’)을 수립하고 이를 기초로 '26년 4분기까지 국방 클라우드 보안 제도를 마련한다. 또한, 국방 클라우드 보안 제도는 정부차원의 클라우드 보안 인증 제도(CSAP)와 연계하고 국방차원의 보안 인증 제도를 결합하여 강화한다.</t>
  </si>
  <si>
    <t xml:space="preserve">76-2</t>
  </si>
  <si>
    <t xml:space="preserve">국방 클라우드 R&amp;D 존 구축</t>
  </si>
  <si>
    <t xml:space="preserve">국방부는 국방 클라우드 보안 체계를 기반으로 방산업체, AI 스타트업이 공동으로 설계/개발/시험을 수행할 수 있는 “국방 클라우드 R&amp;D 존(Zone)”을 ’27년까지 별도로 분리하여 구축할 필요가 있다. 해당 공간은 보안등급별 가상격리(Virtual Segmentation) 구조를 적용하여, 국방 데이터 허브와 연동 가능한 클라우드기반 보안형 개발환경으로 운영한다. 이를 통해 방산기업의 설계–시뮬레이션–AI 학습–시험평가–배포의 전 과정을 단일 클라우드 내에서 수행 가능 하고, 기존 방산업체, AI 스타트업, 그리고 중소기업이 공동개발 형태로 참여함으로써 민군 혁신 확산하며, 국방 데이터 허브의 AI 학습데이터, 모델링 리소스, GPU·클러스터를 공동 활용 가능하도록 조성한다.</t>
  </si>
  <si>
    <t xml:space="preserve">76-3</t>
  </si>
  <si>
    <t xml:space="preserve">국방 데이터 카탈로그화 및 클라우드 기반 구축</t>
  </si>
  <si>
    <t xml:space="preserve">국방부는 ’26년 2분기까지 수립한 국방 데이터 수집·분류기준에 따라 ’26년 3분기부터 ’27년 2분기까지 국방 데이터를 카탈로그화하고, 분기 단위로 최신화한다. 또한, 국방 데이터의 수집에서 정제, 공유, 분석, 활용(학습, 추론)의 전 과정을 효율적으로 관리하기 위한 클라우드 기반(‘국방 데이터 허브/플랫폼’)을 ’26년 2분기부터 단계적으로 구축하여 군·산·학·연이 안전하게 데이터를 공유·활용할 수 있는 개방형 협력 생태계를 조성한다.</t>
  </si>
  <si>
    <t xml:space="preserve">76-4</t>
  </si>
  <si>
    <t xml:space="preserve">국방 클라우드 전환 및 AI 데이터센터 구축</t>
  </si>
  <si>
    <t xml:space="preserve">국방부는 전장관리와 자원관리 전 영역을 대상으로 하는 국방 클라우드 전환 계획과 AI 데이터센터 구축 계획을 ‘26년 2분기까지 수립하고 ‘28년 민군 융합형, ‘30년 군 전용 AI 데이터센터로 국방 AI 데이터센터를 단계적으로 확장하여 운영한다.</t>
  </si>
  <si>
    <r>
      <rPr>
        <sz val="11"/>
        <color theme="1"/>
        <rFont val="맑은 고딕"/>
        <family val="2"/>
        <charset val="1"/>
      </rPr>
      <t xml:space="preserve">77 </t>
    </r>
    <r>
      <rPr>
        <sz val="11"/>
        <color theme="1"/>
        <rFont val="Noto Sans CJK SC"/>
        <family val="2"/>
      </rPr>
      <t xml:space="preserve">군 간부의 </t>
    </r>
    <r>
      <rPr>
        <sz val="11"/>
        <color theme="1"/>
        <rFont val="맑은 고딕"/>
        <family val="2"/>
        <charset val="1"/>
      </rPr>
      <t xml:space="preserve">AI </t>
    </r>
    <r>
      <rPr>
        <sz val="11"/>
        <color theme="1"/>
        <rFont val="Noto Sans CJK SC"/>
        <family val="2"/>
      </rPr>
      <t xml:space="preserve">전문성 제고를 위한 </t>
    </r>
    <r>
      <rPr>
        <sz val="11"/>
        <color theme="1"/>
        <rFont val="맑은 고딕"/>
        <family val="2"/>
        <charset val="1"/>
      </rPr>
      <t xml:space="preserve">AI </t>
    </r>
    <r>
      <rPr>
        <sz val="11"/>
        <color theme="1"/>
        <rFont val="Noto Sans CJK SC"/>
        <family val="2"/>
      </rPr>
      <t xml:space="preserve">학위과정 확대</t>
    </r>
  </si>
  <si>
    <t xml:space="preserve">77-1</t>
  </si>
  <si>
    <t xml:space="preserve">군 간부 AI 역량 강화</t>
  </si>
  <si>
    <t xml:space="preserve">교육·인재 분과</t>
  </si>
  <si>
    <t xml:space="preserve">국방부는 ROTC 및 일반학사 출신을 포함한 군 간부의 AI 역량 강화와 대학에서의 ROTC, 학사장교 등의 지원 확대를 위해 복무 중 1.5년 내에 AI 석사학위 과정 수학 및 취득 기회를 적극 지원한다. 이를 통해 군 간부(장교, 부사관)의 AI 관심 제고, 전문성 강화 및 군 복무 후 사회진출 기회를 증진함으로써 군의 AI 현대화와 국가 AI경쟁력 증진에 기여할 수 있다. 구체적인 사업추진 방안을 ‘26년 2분기에 마련하고 ‘27년 2분기에 시행한다.</t>
  </si>
  <si>
    <r>
      <rPr>
        <sz val="11"/>
        <color theme="1"/>
        <rFont val="맑은 고딕"/>
        <family val="2"/>
        <charset val="1"/>
      </rPr>
      <t xml:space="preserve">78 </t>
    </r>
    <r>
      <rPr>
        <sz val="11"/>
        <color theme="1"/>
        <rFont val="Noto Sans CJK SC"/>
        <family val="2"/>
      </rPr>
      <t xml:space="preserve">민군 협력을 통한 국방 </t>
    </r>
    <r>
      <rPr>
        <sz val="11"/>
        <color theme="1"/>
        <rFont val="맑은 고딕"/>
        <family val="2"/>
        <charset val="1"/>
      </rPr>
      <t xml:space="preserve">AI </t>
    </r>
    <r>
      <rPr>
        <sz val="11"/>
        <color theme="1"/>
        <rFont val="Noto Sans CJK SC"/>
        <family val="2"/>
      </rPr>
      <t xml:space="preserve">보안 역량 강화</t>
    </r>
  </si>
  <si>
    <t xml:space="preserve">78-1</t>
  </si>
  <si>
    <t xml:space="preserve">민군협력 국방 AI 보안 혁신</t>
  </si>
  <si>
    <t xml:space="preserve">국방부는 유관부처(과기정통부, 국정원 등)와 협력하여, "민군협력 기반 국방 AI 보안 혁신 로드맵”을 ’26년 4분기까지 수립해야 한다. 본 정책은 AI를 활용한 사이버 방어의 지능화(AI for Security)와 AI 시스템의 신뢰성 확보(Security for AI)를 포괄하는 상호보완적 전략 기조를 견지해야 한다. 주요 내용으로 AI 기반 체계의 안전성을 극대화하기 위한 ‘제로트러스트 기반 보안 모델’ 및 ‘K-RMF-K-AI RMF의 유기적 연동 방안'을 핵심 아키텍처로 포함해야 한다.</t>
  </si>
  <si>
    <t xml:space="preserve">78-2</t>
  </si>
  <si>
    <r>
      <rPr>
        <sz val="11"/>
        <color theme="1"/>
        <rFont val="맑은 고딕"/>
        <family val="2"/>
        <charset val="1"/>
      </rPr>
      <t xml:space="preserve">AI </t>
    </r>
    <r>
      <rPr>
        <sz val="11"/>
        <color theme="1"/>
        <rFont val="Noto Sans CJK SC"/>
        <family val="2"/>
      </rPr>
      <t xml:space="preserve">보안 핵심기술의 국방 체계 적용</t>
    </r>
  </si>
  <si>
    <t xml:space="preserve">국방부는 ’26년 4분기부터 레드티밍(Red Teaming) 및 실전적 사이버 방어 훈련을 정례화하여, AI 기반 방어 시스템(AI for Security)의 효용성을 검증하고, AI 시스템 자체의 잠재적 취약점(Security for AI)을 선제적으로 식별 및 보완해야 한다. AI 보안 핵심기술(Security for AI) 개발 및 실증을 가속화하여, 이를 ’28년까지 주요 국방 체계에, ’30년까지 전체 국방 시스템에 적용하는 것을 목표로 설정해야 하며 과기정통부 등과의 협력을 통해 추진될 핵심 인력 양성 및 기술 혁신 생태계 조성 사업과 연계되어, AI 보안 기술이 궁극적으로 국방력의 혁신적 강화(AI for Security)를 견인하는 초석이 되도록 추진되어야 한다.</t>
  </si>
  <si>
    <r>
      <rPr>
        <sz val="11"/>
        <color theme="1"/>
        <rFont val="맑은 고딕"/>
        <family val="2"/>
        <charset val="1"/>
      </rPr>
      <t xml:space="preserve">79 </t>
    </r>
    <r>
      <rPr>
        <sz val="11"/>
        <color theme="1"/>
        <rFont val="Noto Sans CJK SC"/>
        <family val="2"/>
      </rPr>
      <t xml:space="preserve">국방 </t>
    </r>
    <r>
      <rPr>
        <sz val="11"/>
        <color theme="1"/>
        <rFont val="맑은 고딕"/>
        <family val="2"/>
        <charset val="1"/>
      </rPr>
      <t xml:space="preserve">AX </t>
    </r>
    <r>
      <rPr>
        <sz val="11"/>
        <color theme="1"/>
        <rFont val="Noto Sans CJK SC"/>
        <family val="2"/>
      </rPr>
      <t xml:space="preserve">가속화를 통한 스마트 강군으로의 전환 </t>
    </r>
  </si>
  <si>
    <t xml:space="preserve">79-1</t>
  </si>
  <si>
    <t xml:space="preserve">국방 AI 파운데이션 모델 개발 및 전력화</t>
  </si>
  <si>
    <t xml:space="preserve">국방부는 과기정통부와 협력하여 ’27년까지 독자 AI 파운데이션 모델 기반의 국방 AI 파운데이션 모델을 개발하고, 이를 토대로 국방 AI 파운데이션 모델 기반 국방 AI 체계를 개발하여 전력화한다. 또한, 국방 AI 파운데이션 모델에 대한 품질·안전성 검증을 위한 시험·인증 프로세스를 구축하여 적용하며, AI 파운데이션 모델에 대한 오류 발생에 신속하게 대응할 수 있는 롤백 체계를 마련하여 운영의 안정성을 보장한다.</t>
  </si>
  <si>
    <t xml:space="preserve">79-2</t>
  </si>
  <si>
    <t xml:space="preserve">국방 AX 거점 구축</t>
  </si>
  <si>
    <t xml:space="preserve">국방부는 ’26년 2분기까지 국방 AX 실증 및 검증, 국방 AX 인재양성(교육, 세미나) 등에 초점을 두는 국방 AX 거점을 구축하고, AX Sprint·AX Challenge를 통해 국방 AI 기술 및 체계 실증과 민군 협력을 추진한다.</t>
  </si>
  <si>
    <t xml:space="preserve">79-3</t>
  </si>
  <si>
    <t xml:space="preserve">군 내 피지컬AI 시험환경 구축 및 획득 전략 수립</t>
  </si>
  <si>
    <t xml:space="preserve">국방부는 산업부, 과기정통부 등 유관 부처와 협력하여 Physical AI 기술 도입 및 확산을 위하여, 군 운용 환경을 고려한 Physical AI 시험 환경(현실, 가상) 구축 등 제반 여건 확보를 위한 정책 및 군의 실데이터 확보를 위한 획득 전략을 ’26년 2분기까지 수립한다. 또한 국방 AI 체계 소요를 고려한 온디바이스 AI 확보 계획을 단계적으로 수립한다.</t>
  </si>
  <si>
    <t xml:space="preserve">과기정통부, 산업부</t>
  </si>
  <si>
    <t xml:space="preserve">79-4</t>
  </si>
  <si>
    <t xml:space="preserve">국방 AI 체계 단계적 구축</t>
  </si>
  <si>
    <t xml:space="preserve">국방부는 산업부, 과기정통부 등 유관부처와의 협력을 통해 유무인 협업체계 구축을 위한 "국방 AI 체계 추진 전략”을 ’26년 2분기까지 수립하고, ’26년 1분기부터 기술개발 및 실증을 시작하여 ’29년까지 비전투 분야, ’30년까지 전투 분야 국방 AI 체계를 구축한다. 또한 전략의 일환으로 국방 AI 분야 핵심인력 양성과 혁신생태계 조성을 추진한다.</t>
  </si>
  <si>
    <t xml:space="preserve">79-5</t>
  </si>
  <si>
    <t xml:space="preserve">국방 AI 체계 전반의 보안성·신뢰성 확보</t>
  </si>
  <si>
    <t xml:space="preserve">국방부는 국방 AI 체계 전반의 보안성·신뢰성 평가 체계를 ’27년까지 마련해, 품질 기반 AX 개발 문화를 정착시키고, 병사와 조직이 AI를 실질적으로 활용하는 스마트 강군으로 전환해 나간다.</t>
  </si>
  <si>
    <r>
      <rPr>
        <sz val="11"/>
        <color theme="1"/>
        <rFont val="맑은 고딕"/>
        <family val="2"/>
        <charset val="1"/>
      </rPr>
      <t xml:space="preserve">80 </t>
    </r>
    <r>
      <rPr>
        <sz val="11"/>
        <color theme="1"/>
        <rFont val="Noto Sans CJK SC"/>
        <family val="2"/>
      </rPr>
      <t xml:space="preserve">방산 </t>
    </r>
    <r>
      <rPr>
        <sz val="11"/>
        <color theme="1"/>
        <rFont val="맑은 고딕"/>
        <family val="2"/>
        <charset val="1"/>
      </rPr>
      <t xml:space="preserve">AI </t>
    </r>
    <r>
      <rPr>
        <sz val="11"/>
        <color theme="1"/>
        <rFont val="Noto Sans CJK SC"/>
        <family val="2"/>
      </rPr>
      <t xml:space="preserve">육성을 통한 방산수출 </t>
    </r>
    <r>
      <rPr>
        <sz val="11"/>
        <color theme="1"/>
        <rFont val="맑은 고딕"/>
        <family val="2"/>
        <charset val="1"/>
      </rPr>
      <t xml:space="preserve">4</t>
    </r>
    <r>
      <rPr>
        <sz val="11"/>
        <color theme="1"/>
        <rFont val="Noto Sans CJK SC"/>
        <family val="2"/>
      </rPr>
      <t xml:space="preserve">대 강국 진입</t>
    </r>
  </si>
  <si>
    <t xml:space="preserve">80-1</t>
  </si>
  <si>
    <r>
      <rPr>
        <sz val="11"/>
        <color theme="1"/>
        <rFont val="맑은 고딕"/>
        <family val="2"/>
        <charset val="1"/>
      </rPr>
      <t xml:space="preserve">K-AI </t>
    </r>
    <r>
      <rPr>
        <sz val="11"/>
        <color theme="1"/>
        <rFont val="Noto Sans CJK SC"/>
        <family val="2"/>
      </rPr>
      <t xml:space="preserve">방산 육성</t>
    </r>
  </si>
  <si>
    <t xml:space="preserve">국방부(방사청)는 산업부와 협력하여 '26년 2분기까지 기존 무기체계의 지능화와 AI 기반 신무기 체계의 발전을 견인할 방산 AI 육성을 위한 K-AI 방산 전략을 수립한다.</t>
  </si>
  <si>
    <t xml:space="preserve">80-2</t>
  </si>
  <si>
    <t xml:space="preserve">한국형 국방 AI 계약·조달 제도 마련</t>
  </si>
  <si>
    <t xml:space="preserve">국방부(방사청)는 '26년 4분기까지 한국형 국방 AI 계약 및 조달 제도를 마련하여 '27년 2분기부터 해당 제도를 적용한 실증형 R&amp;D 프로그램을 추진한다. 이 조달제도는 위에서 서술한 문제점에 대한 해결방안을 포함해야 한다.</t>
  </si>
  <si>
    <t xml:space="preserve">80-3</t>
  </si>
  <si>
    <r>
      <rPr>
        <sz val="11"/>
        <color theme="1"/>
        <rFont val="맑은 고딕"/>
        <family val="2"/>
        <charset val="1"/>
      </rPr>
      <t xml:space="preserve">AI </t>
    </r>
    <r>
      <rPr>
        <sz val="11"/>
        <color theme="1"/>
        <rFont val="Noto Sans CJK SC"/>
        <family val="2"/>
      </rPr>
      <t xml:space="preserve">스타트업 참여 등 방산 수출 경쟁력 강화</t>
    </r>
  </si>
  <si>
    <t xml:space="preserve">국방부(방사청)는 산업부와 협력하여 '27년까지 방산업체와 AI 스타트업 공동 참여 인센티브, AI 스타트업의 방산업 진출을 통한 국방 전문성 확보와 수출 지원을 위한 제도를 단계적으로 마련하고, '28년부터 주요 무기체계에 AI 모듈형 솔루션을 탑재하여 기존 무기체계의 부가가치를 높이고 해외시장 경쟁력을 강화하여 '30년까지 방산 수출 4대 강국에 진입한다.</t>
  </si>
  <si>
    <t xml:space="preserve">전략분야 11) AI 기본 사회</t>
  </si>
  <si>
    <r>
      <rPr>
        <sz val="11"/>
        <color theme="1"/>
        <rFont val="맑은 고딕"/>
        <family val="2"/>
        <charset val="1"/>
      </rPr>
      <t xml:space="preserve">81 </t>
    </r>
    <r>
      <rPr>
        <sz val="11"/>
        <color theme="1"/>
        <rFont val="Noto Sans CJK SC"/>
        <family val="2"/>
      </rPr>
      <t xml:space="preserve">｢모두를 위한 </t>
    </r>
    <r>
      <rPr>
        <sz val="11"/>
        <color theme="1"/>
        <rFont val="맑은 고딕"/>
        <family val="2"/>
        <charset val="1"/>
      </rPr>
      <t xml:space="preserve">AI </t>
    </r>
    <r>
      <rPr>
        <sz val="11"/>
        <color theme="1"/>
        <rFont val="Noto Sans CJK SC"/>
        <family val="2"/>
      </rPr>
      <t xml:space="preserve">기본 사회 추진계획｣ 수립</t>
    </r>
  </si>
  <si>
    <t xml:space="preserve">81-1</t>
  </si>
  <si>
    <r>
      <rPr>
        <sz val="11"/>
        <color theme="1"/>
        <rFont val="맑은 고딕"/>
        <family val="2"/>
        <charset val="1"/>
      </rPr>
      <t xml:space="preserve">AI </t>
    </r>
    <r>
      <rPr>
        <sz val="11"/>
        <color theme="1"/>
        <rFont val="Noto Sans CJK SC"/>
        <family val="2"/>
      </rPr>
      <t xml:space="preserve">기본사회 거버넌스 구축</t>
    </r>
  </si>
  <si>
    <t xml:space="preserve">사회 분과</t>
  </si>
  <si>
    <t xml:space="preserve">과기정통부는, 행안부, 복지부, 노동부, 교육부, 성평등부, 기후부 등 관계 부처와 협력하여, 「모두를 위한 AI 기본사회 추진계획」을 ’26년 4분기까지 수립하되, 사회적 논의를 위하여 그 초안을 ’26년 2분기까지 마련한다. 과기정통부는 ’26년 2분기까지 AI 기본사회 추진계획 수립 및 지속적인 실현을 위하여 범정부 차원의 거버넌스기구를 구축하는 방안을 마련하되, 그 거버넌스기구에는 학계, 전문가, 시민사회 등 민간의 다양한 의견을 포괄할 수 있도록 민간의 참여가 보장되어야 한다.</t>
  </si>
  <si>
    <t xml:space="preserve">성평등부, 교육부, 기후부, 노동부, 복지부, 행안부</t>
  </si>
  <si>
    <r>
      <rPr>
        <sz val="11"/>
        <color theme="1"/>
        <rFont val="맑은 고딕"/>
        <family val="2"/>
        <charset val="1"/>
      </rPr>
      <t xml:space="preserve">AI</t>
    </r>
    <r>
      <rPr>
        <sz val="11"/>
        <color theme="1"/>
        <rFont val="Noto Sans CJK SC"/>
        <family val="2"/>
      </rPr>
      <t xml:space="preserve">사회산업팀</t>
    </r>
  </si>
  <si>
    <t xml:space="preserve">81-2</t>
  </si>
  <si>
    <t xml:space="preserve">모두를 위한 AI 기본사회 추진계획 수립</t>
  </si>
  <si>
    <t xml:space="preserve">「모두를 위한 AI 기본사회 추진계획」은 국민의 기본권 확대와 성별·지역별·세대별·계층별 격차해소, 사회안전망 강화를 목표로 하고, AI민주주의·기술윤리·사회적 포용원칙이 통합적으로 고려되어야 하며, 노동·복지·교육·금융·문화·안전·환경 등 7대 핵심 영역의 구현 전략과 범부처 실행체계 구축 방안을 포함하여야 한다.</t>
  </si>
  <si>
    <t xml:space="preserve">81-3</t>
  </si>
  <si>
    <t xml:space="preserve">공론장 및 숙의를 통한 AI 기본사회 추진계획 수립·추진</t>
  </si>
  <si>
    <t xml:space="preserve">과기정통부는 「모두를 위한 AI 기본사회 추진계획」을 수립하고 추진함에 있어서, 관계 부처 및 다양한 이해관계를 가진 국민들이 참여하는 공론장을 통하여 사회적 쟁점에 대한 숙의가 이루어지도록 하고, 여기에서 도출된 의견을 반영함으로써, AI 기본 사회 추진에 대한 사회적 수용성과 정당성을 제고하여야 한다.</t>
  </si>
  <si>
    <t xml:space="preserve">81-4</t>
  </si>
  <si>
    <r>
      <rPr>
        <sz val="11"/>
        <color theme="1"/>
        <rFont val="맑은 고딕"/>
        <family val="2"/>
        <charset val="1"/>
      </rPr>
      <t xml:space="preserve">AI </t>
    </r>
    <r>
      <rPr>
        <sz val="11"/>
        <color theme="1"/>
        <rFont val="Noto Sans CJK SC"/>
        <family val="2"/>
      </rPr>
      <t xml:space="preserve">기본사회 서비스 및 법</t>
    </r>
    <r>
      <rPr>
        <sz val="11"/>
        <color theme="1"/>
        <rFont val="맑은 고딕"/>
        <family val="2"/>
        <charset val="1"/>
      </rPr>
      <t xml:space="preserve">·</t>
    </r>
    <r>
      <rPr>
        <sz val="11"/>
        <color theme="1"/>
        <rFont val="Noto Sans CJK SC"/>
        <family val="2"/>
      </rPr>
      <t xml:space="preserve">제도 정비</t>
    </r>
  </si>
  <si>
    <t xml:space="preserve">과기정통부는 AI 기본사회 시범 사업을 시행하고 관련 법·제도 정비 소요를 ’27년 4분기까지 파악한 뒤, 이를 바탕으로 ’30년 1분기까지 「모두를 위한 AI 기본사회 추진 계획」의 노동·복지·교육·금융·문화·안전·환경 등 7대 핵심 영역의 구현 전략을 핵심으로 하는 범국민 서비스를 개시하고 법·제도를 정비하되, 이 과정에서 공익데이터 확보·개방, 공익 AI 육성, 시민참여형 거버넌스 구축을 함께 추진한다.</t>
  </si>
  <si>
    <r>
      <rPr>
        <sz val="11"/>
        <color theme="1"/>
        <rFont val="맑은 고딕"/>
        <family val="2"/>
        <charset val="1"/>
      </rPr>
      <t xml:space="preserve">82 AI </t>
    </r>
    <r>
      <rPr>
        <sz val="11"/>
        <color theme="1"/>
        <rFont val="Noto Sans CJK SC"/>
        <family val="2"/>
      </rPr>
      <t xml:space="preserve">기본 사회 추진 거버넌스 마련</t>
    </r>
  </si>
  <si>
    <t xml:space="preserve">82-1</t>
  </si>
  <si>
    <r>
      <rPr>
        <sz val="11"/>
        <color theme="1"/>
        <rFont val="맑은 고딕"/>
        <family val="2"/>
        <charset val="1"/>
      </rPr>
      <t xml:space="preserve">AI </t>
    </r>
    <r>
      <rPr>
        <sz val="11"/>
        <color theme="1"/>
        <rFont val="Noto Sans CJK SC"/>
        <family val="2"/>
      </rPr>
      <t xml:space="preserve">소셜벤처 포함 사회 혁신형 생태계 조성</t>
    </r>
  </si>
  <si>
    <t xml:space="preserve">과기정통부와 행안부는 중기부, 기획예산처 등 관계 부처와 협력하여, AI 소셜벤처를 포함한 ｢사회 연대 경제 및 공익데이터 기반의 사회 혁신형 생태계 조성 계획｣을 ’26년 2분기까지 수립하되, 동 조성 계획에는 ①공익데이터·AI의 법적 지위의 명확화·제도화 검토, ②공공 AX 예산 사업의 특정 비율(예 : 10~20%)을 공익데이터·AI 분야에 배분하기 위한 기준 마련·적용, ③사회 혁신형 생태계 조성 과정에서 민간 참여 최소 비율 지정, ④조달·바우처·R&amp;D·인력 양성 등 정부 지원 프로그램과 AI 소셜벤처 연계, ⑤민·관·학 협력에 기반한 사회혁신형 데이터 거버넌스 모델 구축, ⑥공익데이터의 품질관리 및 윤리 검증 절차 마련 등 사회 연대 경제의 지속 가능한 생태계 구축을 위한 방안이 포함되어야 한다.</t>
  </si>
  <si>
    <t xml:space="preserve">과기정통부, 행안부</t>
  </si>
  <si>
    <t xml:space="preserve">기획처, 중기부</t>
  </si>
  <si>
    <t xml:space="preserve">82-2</t>
  </si>
  <si>
    <r>
      <rPr>
        <sz val="11"/>
        <color theme="1"/>
        <rFont val="맑은 고딕"/>
        <family val="2"/>
        <charset val="1"/>
      </rPr>
      <t xml:space="preserve">AI</t>
    </r>
    <r>
      <rPr>
        <sz val="11"/>
        <color theme="1"/>
        <rFont val="Noto Sans CJK SC"/>
        <family val="2"/>
      </rPr>
      <t xml:space="preserve">시대 새로운 기본권 체계 제도화</t>
    </r>
  </si>
  <si>
    <t xml:space="preserve">과기정통부는 ‘모두의 AI 범부처 얼라이언스’를 ’26년 2분기까지 구성하여 정책·데이터·기술간 연계 체계를 강화하고, 관계 법령에 ‘기술 기본권’과 ‘공익 AI’ 조항을 반영하여 AI시대의 새로운 기본권 체계를 ’27년 4분기까지 제도화한다.</t>
  </si>
  <si>
    <r>
      <rPr>
        <sz val="11"/>
        <color theme="1"/>
        <rFont val="맑은 고딕"/>
        <family val="2"/>
        <charset val="1"/>
      </rPr>
      <t xml:space="preserve">83 </t>
    </r>
    <r>
      <rPr>
        <sz val="11"/>
        <color theme="1"/>
        <rFont val="Noto Sans CJK SC"/>
        <family val="2"/>
      </rPr>
      <t xml:space="preserve">모두의 </t>
    </r>
    <r>
      <rPr>
        <sz val="11"/>
        <color theme="1"/>
        <rFont val="맑은 고딕"/>
        <family val="2"/>
        <charset val="1"/>
      </rPr>
      <t xml:space="preserve">AI</t>
    </r>
    <r>
      <rPr>
        <sz val="11"/>
        <color theme="1"/>
        <rFont val="Noto Sans CJK SC"/>
        <family val="2"/>
      </rPr>
      <t xml:space="preserve">를 위한 </t>
    </r>
    <r>
      <rPr>
        <sz val="11"/>
        <color theme="1"/>
        <rFont val="맑은 고딕"/>
        <family val="2"/>
        <charset val="1"/>
      </rPr>
      <t xml:space="preserve">AI </t>
    </r>
    <r>
      <rPr>
        <sz val="11"/>
        <color theme="1"/>
        <rFont val="Noto Sans CJK SC"/>
        <family val="2"/>
      </rPr>
      <t xml:space="preserve">윤리 확산</t>
    </r>
    <r>
      <rPr>
        <sz val="11"/>
        <color theme="1"/>
        <rFont val="맑은 고딕"/>
        <family val="2"/>
        <charset val="1"/>
      </rPr>
      <t xml:space="preserve">·</t>
    </r>
    <r>
      <rPr>
        <sz val="11"/>
        <color theme="1"/>
        <rFont val="Noto Sans CJK SC"/>
        <family val="2"/>
      </rPr>
      <t xml:space="preserve">고도화</t>
    </r>
  </si>
  <si>
    <t xml:space="preserve">83-1</t>
  </si>
  <si>
    <r>
      <rPr>
        <sz val="11"/>
        <color theme="1"/>
        <rFont val="맑은 고딕"/>
        <family val="2"/>
        <charset val="1"/>
      </rPr>
      <t xml:space="preserve">AI </t>
    </r>
    <r>
      <rPr>
        <sz val="11"/>
        <color theme="1"/>
        <rFont val="Noto Sans CJK SC"/>
        <family val="2"/>
      </rPr>
      <t xml:space="preserve">윤리 포럼 운영</t>
    </r>
  </si>
  <si>
    <t xml:space="preserve">과기정통부는 ｢인공지능 윤리원칙｣의 고도화 및 확산 과정에서 AI 개발 사업자 및 이용 사업자, 이용자, 영향을 받는 자 등 ｢인공지능 기본법｣에서 정의된 주체를 포함하여 사회 각계의 의견 수렴을 위해 기존 ｢인공지능 윤리 포럼｣을 지속 운영하며, 해당 포럼의 운영 결과가 차년도 국가 AI 정책에 반영될 수 있도록 지원한다.</t>
  </si>
  <si>
    <t xml:space="preserve">83-2</t>
  </si>
  <si>
    <r>
      <rPr>
        <sz val="11"/>
        <color theme="1"/>
        <rFont val="맑은 고딕"/>
        <family val="2"/>
        <charset val="1"/>
      </rPr>
      <t xml:space="preserve">AI </t>
    </r>
    <r>
      <rPr>
        <sz val="11"/>
        <color theme="1"/>
        <rFont val="Noto Sans CJK SC"/>
        <family val="2"/>
      </rPr>
      <t xml:space="preserve">윤리원칙 제정</t>
    </r>
  </si>
  <si>
    <t xml:space="preserve">과기정통부는 '20년에 수립한 ｢인공지능 윤리기준｣을 현재, 그리고 향후 AI 기술 방향성을 고려하여 '26년 2분기까지 고도화하여 ｢인공지능 윤리원칙｣을 제정한다. 동 윤리원칙은 국제적으로도 정합성을 가져야 하며, 인공지능 윤리 유관 정책 및 사업 관련 부처와 협의하고, 인공지능 윤리 작업반, 인공지능 윤리 포럼, AI 공론장 등을 통한 사회 각계의 의견 수렴 절차를 거쳐 국가AI전략위원회의 심의를 통해 최종적으로 확정된다. 또한, 개별 부처에서 요청 시 필요하다고 판단되는 경우 부처 특성에 맞는 인공지능 윤리 가이드라인 수립을 지원한다.</t>
  </si>
  <si>
    <t xml:space="preserve">83-3</t>
  </si>
  <si>
    <r>
      <rPr>
        <sz val="11"/>
        <color theme="1"/>
        <rFont val="맑은 고딕"/>
        <family val="2"/>
        <charset val="1"/>
      </rPr>
      <t xml:space="preserve">AI </t>
    </r>
    <r>
      <rPr>
        <sz val="11"/>
        <color theme="1"/>
        <rFont val="Noto Sans CJK SC"/>
        <family val="2"/>
      </rPr>
      <t xml:space="preserve">윤리기준 실천 자율점검표 고도화</t>
    </r>
  </si>
  <si>
    <t xml:space="preserve">과기정통부는 AI 개발 사업자 및 이용 사업자가 AI 시스템의 기획-개발-배포에 이르는 생애주기에 걸쳐 윤리적 고려 사항을 점검할 수 있도록, 기존 ｢인공지능 윤리기준｣ 실천을 위한 자율 점검표를 ’26년 4분기까지 고도화한다.</t>
  </si>
  <si>
    <t xml:space="preserve">83-4</t>
  </si>
  <si>
    <r>
      <rPr>
        <sz val="11"/>
        <color theme="1"/>
        <rFont val="맑은 고딕"/>
        <family val="2"/>
        <charset val="1"/>
      </rPr>
      <t xml:space="preserve">AI </t>
    </r>
    <r>
      <rPr>
        <sz val="11"/>
        <color theme="1"/>
        <rFont val="Noto Sans CJK SC"/>
        <family val="2"/>
      </rPr>
      <t xml:space="preserve">사회적 영향분석 시행</t>
    </r>
  </si>
  <si>
    <t xml:space="preserve">과기정통부는 AI 기술이 국내 사회・경제에 미치는 영향을 전방위적으로 분석하기 위한 ｢인공지능 사회적 영향분석｣를 ‘26년부터 연 1회 시행한다. 동 분석을 위해 국가AI전략위원회와 협력하며 ｢인공지능 윤리포럼｣ 위원, 일반 시민 등 사회 각계 의견 수렴을 위한 다양성이 보장되어야 한다. 과기정통부는 동 분석 결과가 차년도 국가 AI 정책에 반영될 수 있는 체계 확보를 지원하며, 관련 내용을 일반 대중에게 공개한다.</t>
  </si>
  <si>
    <r>
      <rPr>
        <sz val="11"/>
        <color theme="1"/>
        <rFont val="맑은 고딕"/>
        <family val="2"/>
        <charset val="1"/>
      </rPr>
      <t xml:space="preserve">84 AI </t>
    </r>
    <r>
      <rPr>
        <sz val="11"/>
        <color theme="1"/>
        <rFont val="Noto Sans CJK SC"/>
        <family val="2"/>
      </rPr>
      <t xml:space="preserve">공론장 설계 및 운영</t>
    </r>
  </si>
  <si>
    <t xml:space="preserve">84-1</t>
  </si>
  <si>
    <r>
      <rPr>
        <sz val="11"/>
        <color theme="1"/>
        <rFont val="맑은 고딕"/>
        <family val="2"/>
        <charset val="1"/>
      </rPr>
      <t xml:space="preserve">AI </t>
    </r>
    <r>
      <rPr>
        <sz val="11"/>
        <color theme="1"/>
        <rFont val="Noto Sans CJK SC"/>
        <family val="2"/>
      </rPr>
      <t xml:space="preserve">공론장 플랫폼 설계</t>
    </r>
    <r>
      <rPr>
        <sz val="11"/>
        <color theme="1"/>
        <rFont val="맑은 고딕"/>
        <family val="2"/>
        <charset val="1"/>
      </rPr>
      <t xml:space="preserve">·</t>
    </r>
    <r>
      <rPr>
        <sz val="11"/>
        <color theme="1"/>
        <rFont val="Noto Sans CJK SC"/>
        <family val="2"/>
      </rPr>
      <t xml:space="preserve">구축</t>
    </r>
  </si>
  <si>
    <t xml:space="preserve">과기정통부는 국가AI전략위와 협력하여 ’26년 3분기까지 ‘AI 공론장’ 플랫폼을 설계·구축하고, 시민·전문가·기업·정부가 함께 숙의하는 다중 이해자 거버넌스를 통해 AI 기술로 인한 사회적 변화와 쟁점을 주제별로 수집·분석하여 제안→숙의→실증사업→정책화로 이어지는 공론화 프로세스를 정착시킨다.</t>
  </si>
  <si>
    <t xml:space="preserve">84-2</t>
  </si>
  <si>
    <r>
      <rPr>
        <sz val="11"/>
        <color theme="1"/>
        <rFont val="맑은 고딕"/>
        <family val="2"/>
        <charset val="1"/>
      </rPr>
      <t xml:space="preserve">AI </t>
    </r>
    <r>
      <rPr>
        <sz val="11"/>
        <color theme="1"/>
        <rFont val="Noto Sans CJK SC"/>
        <family val="2"/>
      </rPr>
      <t xml:space="preserve">정책 공론화</t>
    </r>
    <r>
      <rPr>
        <sz val="11"/>
        <color theme="1"/>
        <rFont val="맑은 고딕"/>
        <family val="2"/>
        <charset val="1"/>
      </rPr>
      <t xml:space="preserve">·</t>
    </r>
    <r>
      <rPr>
        <sz val="11"/>
        <color theme="1"/>
        <rFont val="Noto Sans CJK SC"/>
        <family val="2"/>
      </rPr>
      <t xml:space="preserve">실증</t>
    </r>
  </si>
  <si>
    <t xml:space="preserve">과기정통부는 국가AI전략위와 협력하여 정부와 시민단체를 연계한 정책 공론화·실증 프로젝트를 ’26년 4분기까지 5건 이상 추진하고, 그 결과를 정부의 AI 관련 정책에 우선적으로 반영한다.</t>
  </si>
  <si>
    <t xml:space="preserve">84-3</t>
  </si>
  <si>
    <r>
      <rPr>
        <sz val="11"/>
        <color theme="1"/>
        <rFont val="맑은 고딕"/>
        <family val="2"/>
        <charset val="1"/>
      </rPr>
      <t xml:space="preserve">AI </t>
    </r>
    <r>
      <rPr>
        <sz val="11"/>
        <color theme="1"/>
        <rFont val="Noto Sans CJK SC"/>
        <family val="2"/>
      </rPr>
      <t xml:space="preserve">국민참여 확산</t>
    </r>
  </si>
  <si>
    <t xml:space="preserve">과기정통부는 국민 참여형 AI 거버넌스의 표준 모델을 정립하고, 다중 이해관계자와 시민은 물론 특히 기술의 영향을 받는 당사자, 취약계층 및 소수자가 폭넓게 참여하여 사회의 다양한 가치를 반영할 수 있도록 온·오프라인을 연계한 ｢AI 국민참여 확산 전략｣을 ’26년 1분기까지 마련한다.</t>
  </si>
  <si>
    <r>
      <rPr>
        <sz val="11"/>
        <color theme="1"/>
        <rFont val="맑은 고딕"/>
        <family val="2"/>
        <charset val="1"/>
      </rPr>
      <t xml:space="preserve">85 AI</t>
    </r>
    <r>
      <rPr>
        <sz val="11"/>
        <color theme="1"/>
        <rFont val="Noto Sans CJK SC"/>
        <family val="2"/>
      </rPr>
      <t xml:space="preserve">를 활용한 사회문제 해결을 위해 ‘모두의 </t>
    </r>
    <r>
      <rPr>
        <sz val="11"/>
        <color theme="1"/>
        <rFont val="맑은 고딕"/>
        <family val="2"/>
        <charset val="1"/>
      </rPr>
      <t xml:space="preserve">AI </t>
    </r>
    <r>
      <rPr>
        <sz val="11"/>
        <color theme="1"/>
        <rFont val="Noto Sans CJK SC"/>
        <family val="2"/>
      </rPr>
      <t xml:space="preserve">실험실’ 구축</t>
    </r>
  </si>
  <si>
    <t xml:space="preserve">85-1</t>
  </si>
  <si>
    <t xml:space="preserve">개방형 AI 생태계 조성 및 문화적 토대 구축</t>
  </si>
  <si>
    <t xml:space="preserve">과기정통부와 행안부는 국민이 주체로 참여하는 개방형 AI 생태계를 조성하고, 사회문제 해결과 AI 대전환의 바람직한 방향을 함께 만들어가는 문화적 토대를 구축하여야 한다.</t>
  </si>
  <si>
    <t xml:space="preserve">85-2</t>
  </si>
  <si>
    <t xml:space="preserve">국민 참여형 모두의 AI 실험실 구축</t>
  </si>
  <si>
    <t xml:space="preserve">과기정통부와 행안부는 이를 위해 모든 국민이 AI를 활용해 사회문제를 직접 해결하고 창의적 아이디어를 실현할 수 있도록 국민 참여형 온·오프라인 ‘모두의 AI 실험실’을 ’26년 3분기까지 구축하되, 모두의 AI 실험실은 누구나 손쉽게 활용할 수 있는 로우코드·노코드 개발환경과 오픈소스 커뮤니티 지원체계를 제공하고, GPU 인프라와 공익데이터를 개방해 시민·개발자·스타트업이 함께 혁신에 참여하는 구조로 마련되어야 한다.</t>
  </si>
  <si>
    <t xml:space="preserve">85-3</t>
  </si>
  <si>
    <t xml:space="preserve">모두의 AI 실험실 오프라인 거점 운영</t>
  </si>
  <si>
    <t xml:space="preserve">과기정통부는 모두의 AI 실험실 오프라인 거점을 ’26년 4분기까지 5개소를 시범 운영한 뒤 그 성과를 반영하여 ’30년까지 단계적 확대를 추진하되, 오프라인 거점과 온라인 공간을 합쳐 ’30년까지 총 1천 개의 문제를 해결하는 것을 목표로 한다.</t>
  </si>
  <si>
    <r>
      <rPr>
        <sz val="11"/>
        <color theme="1"/>
        <rFont val="맑은 고딕"/>
        <family val="2"/>
        <charset val="1"/>
      </rPr>
      <t xml:space="preserve">86 AI </t>
    </r>
    <r>
      <rPr>
        <sz val="11"/>
        <color theme="1"/>
        <rFont val="Noto Sans CJK SC"/>
        <family val="2"/>
      </rPr>
      <t xml:space="preserve">기본 사회 글로벌 얼라이언스 구성</t>
    </r>
  </si>
  <si>
    <t xml:space="preserve">86-1</t>
  </si>
  <si>
    <r>
      <rPr>
        <sz val="11"/>
        <color theme="1"/>
        <rFont val="맑은 고딕"/>
        <family val="2"/>
        <charset val="1"/>
      </rPr>
      <t xml:space="preserve">AI </t>
    </r>
    <r>
      <rPr>
        <sz val="11"/>
        <color theme="1"/>
        <rFont val="Noto Sans CJK SC"/>
        <family val="2"/>
      </rPr>
      <t xml:space="preserve">기본사회 글로벌 얼라이언스 시행</t>
    </r>
  </si>
  <si>
    <t xml:space="preserve">과기정통부와 외교부는 한국의 ‘AI 기본 사회’ 모델을 국제사회에 확산하기 위한 ‘AI 기본 사회 글로벌 얼라이언스’의 구체적인 시행 계획을 ’27년 1분기까지 마련한다.</t>
  </si>
  <si>
    <t xml:space="preserve">과기정통부, 외교부</t>
  </si>
  <si>
    <t xml:space="preserve">86-2</t>
  </si>
  <si>
    <t xml:space="preserve">국내 AI 기본사회 사례 수집 및 해외 네트워크 구축</t>
  </si>
  <si>
    <t xml:space="preserve">과기정통부와 외교부는 이를 위해 민·관 공동 준비단을 구성하여 현재 활성화되어 운영 중인 국내 AI 기본 사회 사례를 수집하고, 해외 유관 네트워크와 공조 체계를 ’27년 1분기까지 구축한다.</t>
  </si>
  <si>
    <r>
      <rPr>
        <sz val="11"/>
        <color theme="1"/>
        <rFont val="맑은 고딕"/>
        <family val="2"/>
        <charset val="1"/>
      </rPr>
      <t xml:space="preserve">87 AI </t>
    </r>
    <r>
      <rPr>
        <sz val="11"/>
        <color theme="1"/>
        <rFont val="Noto Sans CJK SC"/>
        <family val="2"/>
      </rPr>
      <t xml:space="preserve">시대 생애 경제 통합 전략 마련</t>
    </r>
  </si>
  <si>
    <t xml:space="preserve">87-1</t>
  </si>
  <si>
    <r>
      <rPr>
        <sz val="11"/>
        <color theme="1"/>
        <rFont val="맑은 고딕"/>
        <family val="2"/>
        <charset val="1"/>
      </rPr>
      <t xml:space="preserve">AI</t>
    </r>
    <r>
      <rPr>
        <sz val="11"/>
        <color theme="1"/>
        <rFont val="Noto Sans CJK SC"/>
        <family val="2"/>
      </rPr>
      <t xml:space="preserve">의 생애 경제 영향 및 대응 전략 모색</t>
    </r>
  </si>
  <si>
    <t xml:space="preserve">재정경제부는 과기정통부, 노동부, 금융위, 국가데이터처, 국세청, 국토부, 문체부, 복지부, 성평등부와 협력하여 AI가 노동, 소득, 자산, 금융 등 개인의 생애 경제에 미치는 영향 및 대응전략에 대한 연구를 ’26년 4분기까지 추진한다.</t>
  </si>
  <si>
    <t xml:space="preserve">국가데이터처, 과기정통부, 성평등부, 국토부, 금융위, 노동부, 문체부, 복지부, 국세청</t>
  </si>
  <si>
    <t xml:space="preserve">87-2</t>
  </si>
  <si>
    <r>
      <rPr>
        <sz val="11"/>
        <color theme="1"/>
        <rFont val="맑은 고딕"/>
        <family val="2"/>
        <charset val="1"/>
      </rPr>
      <t xml:space="preserve">AI </t>
    </r>
    <r>
      <rPr>
        <sz val="11"/>
        <color theme="1"/>
        <rFont val="Noto Sans CJK SC"/>
        <family val="2"/>
      </rPr>
      <t xml:space="preserve">시대 중장기 생애 경제 지원방안 수립 검토</t>
    </r>
  </si>
  <si>
    <t xml:space="preserve">재정경제부는 이 연구를 토대로 과기정통부, 노동부, 금융위, 국가데이터처, 국세청, 국토부, 문체부, 복지부, 성평등부와 협의를 통해 AI 대전환에 따른 일자리·복지 시스템의 단계적 개편방안을 담은 ｢AI 시대 중장기 생애 경제 지원방안｣을 ’27년 4분기까지 논의하며, 이를 토대로 수립을 검토한다.</t>
  </si>
  <si>
    <t xml:space="preserve">87-3</t>
  </si>
  <si>
    <t xml:space="preserve">인구 정책 실효성 제고를 위한 AI 데이터 활성화 및 표준화</t>
  </si>
  <si>
    <t xml:space="preserve">국가데이터처는 소득 이동, 자살, 사회 보장 행정 등 인구 정책의 실효성을 높이고 정부 기관간 보유한 데이터의 연계ㆍ활용도를 강화할 수 있도록 산업계ㆍ학계 등의 데이터 수요 조사에 기반하여 AI 데이터 활성화 및 데이터 표준화를 위한 연구를 ’26년 4분기까지 추진한다.</t>
  </si>
  <si>
    <t xml:space="preserve">국가데이터처</t>
  </si>
  <si>
    <r>
      <rPr>
        <sz val="11"/>
        <color theme="1"/>
        <rFont val="맑은 고딕"/>
        <family val="2"/>
        <charset val="1"/>
      </rPr>
      <t xml:space="preserve">88 AI </t>
    </r>
    <r>
      <rPr>
        <sz val="11"/>
        <color theme="1"/>
        <rFont val="Noto Sans CJK SC"/>
        <family val="2"/>
      </rPr>
      <t xml:space="preserve">전환 대응 일자리 혁신 및 현장 역량 강화</t>
    </r>
  </si>
  <si>
    <t xml:space="preserve">88-1</t>
  </si>
  <si>
    <r>
      <rPr>
        <sz val="11"/>
        <color theme="1"/>
        <rFont val="맑은 고딕"/>
        <family val="2"/>
        <charset val="1"/>
      </rPr>
      <t xml:space="preserve">AI</t>
    </r>
    <r>
      <rPr>
        <sz val="11"/>
        <color theme="1"/>
        <rFont val="Noto Sans CJK SC"/>
        <family val="2"/>
      </rPr>
      <t xml:space="preserve">시대 일자리 변화 대응 및 고용 안정화 방안 마련</t>
    </r>
  </si>
  <si>
    <t xml:space="preserve">노동부는 인간과 AI가 협업하는 고용 생태계를 구축하기 위해 과기정통부, 교육부, 산업부 등 관계 부처와 협력해 ’26년 2분기까지 ｢AI시대 일자리 변화 대응 및 고용안정 종합계획｣을 수립하되, 동 종합계획은 ①중소기업 AI 도입 연계 훈련을 포함한 노동시장의 구직자, 재직자 등의 AI 역량강화, ②플랫폼 노동자·프리랜서 등 비전형 근로자 대상 사회안전망 확충 및 공정 알고리즘 기준·근로자 정보접근권 보장 방안 마련, ③AI 대체 고위험군 직종별 맞춤 전환 지원제도와 실업 안전망 확충을 핵심 축으로 한다.</t>
  </si>
  <si>
    <t xml:space="preserve">노동부</t>
  </si>
  <si>
    <t xml:space="preserve">과기정통부, 교육부, 산업부</t>
  </si>
  <si>
    <t xml:space="preserve">88-2</t>
  </si>
  <si>
    <t xml:space="preserve">원스톱 AI 고용서비스 체계 단계적 구축</t>
  </si>
  <si>
    <t xml:space="preserve">노동부는 「AI 고용서비스 로드맵(’25~’27)」에 따라 개인·기업·행정을 포괄하는 원스톱 AI 고용서비스 체계를 단계적으로 구축한다. 기업 대상 구인공고 작성 - 채용확률·분석 - 인재추천 - 채용 관리까지 원스톱 AI 채용지원서비스를 ’26년 4분기까지 완성해 기업의 채용업무 부담을 줄인다. 또한, ’27년 4분기까지 24시간 고용·노동·직업상담이 가능한 AI 민원·상담 서비스를 구현하고, 고용 시장의 AI 데이터 축적을 추진해 AI 고용서비스의 개발·제공 속도와 품질을 지속 제고한다.</t>
  </si>
  <si>
    <t xml:space="preserve">88-3</t>
  </si>
  <si>
    <t xml:space="preserve">개인맞춤형 경력 설계 지원 및 노동분야 AI 윤리 가이드라인 마련</t>
  </si>
  <si>
    <t xml:space="preserve">노동부는 ’26년 하반기부터 평생학습·고용보험·취업 서비스를 연계한 개인맞춤형 경력 설계 지원체계를 운영하고, ’26년 4분기까지 노동조건 결정에 있어 AI활용의 공정성과 투명성을 확보하기 위한 ｢(가칭)노동분야 AI 윤리 가이드라인｣을 마련하되 근로자 권리보호와 기업 혁신이 상생하는 균형적인 방안을 마련한다.</t>
  </si>
  <si>
    <t xml:space="preserve">88-4</t>
  </si>
  <si>
    <r>
      <rPr>
        <sz val="11"/>
        <color theme="1"/>
        <rFont val="맑은 고딕"/>
        <family val="2"/>
        <charset val="1"/>
      </rPr>
      <t xml:space="preserve">AI</t>
    </r>
    <r>
      <rPr>
        <sz val="11"/>
        <color theme="1"/>
        <rFont val="Noto Sans CJK SC"/>
        <family val="2"/>
      </rPr>
      <t xml:space="preserve">시대 포용적 노동 전환 국가 전략 수립</t>
    </r>
  </si>
  <si>
    <t xml:space="preserve">노동부는 ’27년 2분기까지 AI 도입에 따른 사회·산업 차원의 기술 변화로 인해 발생한 소득 및 기회 상실에 대한 적절한 보상 체계를 확립하고, 같은 기한까지 기술 변화에 적응하는 ｢포용적 노동 전환 국가 전략｣을 수립하여 고용 안정률을 제고하며, AI로 인한 직무 소멸 및 실업 위험에 대응하여 소득 공백에 대한 지원 및 재교육, 직업전환 등에 대한 다층적 고용안전망 체계를 수립한다.</t>
  </si>
  <si>
    <t xml:space="preserve">88-5</t>
  </si>
  <si>
    <t xml:space="preserve">근로감독관 AI 지원시스템 단계적 구축</t>
  </si>
  <si>
    <t xml:space="preserve">노동부는 임금 체불, 장시간 노동, 산업재해 등 노동권 침해 위험에 선제적으로 대응하기 위해 노동자·사업주의 노동법 이해와 근로감독관의 효율적인 노동법 집행을 돕는 「근로감독관 AI 지원시스템」을 ’27년도 4분기까지 단계적으로 구축한다. 이를 위해 행안부, 과기정통부와 협력하여 AI 노동법 상담 서비스를 ’26년 4분기까지 고도화하고, AI 기반 기초노동질서 및 산재위험요소 자율점검, 산업재해 등 노동권 침해 예측 AI 시스템을 ’27년 4분기까지 단계적으로 구축한다.</t>
  </si>
  <si>
    <t xml:space="preserve">88-6</t>
  </si>
  <si>
    <t xml:space="preserve">산업별·직무별 AI 영향도 분석 및 직업 역량 강화</t>
  </si>
  <si>
    <t xml:space="preserve">산업부와 노동부는 ’26년 2분기까지 산업별·직무별 AI 영향도 분석 및 직업 역량 강화 가이드라인을 마련하고, ’26년 3분기에는 직장인 대상 AI 재교육·전환(upskilling·reskilling) 프로그램을 시행한다.</t>
  </si>
  <si>
    <t xml:space="preserve">산업부, 노동부</t>
  </si>
  <si>
    <r>
      <rPr>
        <sz val="11"/>
        <color theme="1"/>
        <rFont val="맑은 고딕"/>
        <family val="2"/>
        <charset val="1"/>
      </rPr>
      <t xml:space="preserve">89 AI </t>
    </r>
    <r>
      <rPr>
        <sz val="11"/>
        <color theme="1"/>
        <rFont val="Noto Sans CJK SC"/>
        <family val="2"/>
      </rPr>
      <t xml:space="preserve">시대 복지</t>
    </r>
    <r>
      <rPr>
        <sz val="11"/>
        <color theme="1"/>
        <rFont val="맑은 고딕"/>
        <family val="2"/>
        <charset val="1"/>
      </rPr>
      <t xml:space="preserve">·</t>
    </r>
    <r>
      <rPr>
        <sz val="11"/>
        <color theme="1"/>
        <rFont val="Noto Sans CJK SC"/>
        <family val="2"/>
      </rPr>
      <t xml:space="preserve">돌봄의 접근성 확대</t>
    </r>
  </si>
  <si>
    <t xml:space="preserve">89-1</t>
  </si>
  <si>
    <r>
      <rPr>
        <sz val="11"/>
        <color theme="1"/>
        <rFont val="맑은 고딕"/>
        <family val="2"/>
        <charset val="1"/>
      </rPr>
      <t xml:space="preserve">AI </t>
    </r>
    <r>
      <rPr>
        <sz val="11"/>
        <color theme="1"/>
        <rFont val="Noto Sans CJK SC"/>
        <family val="2"/>
      </rPr>
      <t xml:space="preserve">복지</t>
    </r>
    <r>
      <rPr>
        <sz val="11"/>
        <color theme="1"/>
        <rFont val="맑은 고딕"/>
        <family val="2"/>
        <charset val="1"/>
      </rPr>
      <t xml:space="preserve">·</t>
    </r>
    <r>
      <rPr>
        <sz val="11"/>
        <color theme="1"/>
        <rFont val="Noto Sans CJK SC"/>
        <family val="2"/>
      </rPr>
      <t xml:space="preserve">돌봄 혁신 계획 수립</t>
    </r>
  </si>
  <si>
    <t xml:space="preserve">복지부는 ’26년 3분기까지 ｢AI 복지·돌봄 혁신 계획｣을 수립하여, 고위험군 위기 예측 고도화와 복지행정 자동화를 포함한 예방형 복지 모델을 구축하고, AI 기반 재가·시설 돌봄서비스 혁신 및 유망 돌봄 기술 육성 등 돌봄 위기 대응 기반을 마련하고, ’27년 4분기까지 이 과정에서 AI와의 상호작용 확대에 따른 정서적·심리적 부작용 예방과 국민 정신건강 보호 체계를 이해관계자 및 전문가들과 논의하며 함께 구축한다.</t>
  </si>
  <si>
    <t xml:space="preserve">89-2</t>
  </si>
  <si>
    <r>
      <rPr>
        <sz val="11"/>
        <color theme="1"/>
        <rFont val="맑은 고딕"/>
        <family val="2"/>
        <charset val="1"/>
      </rPr>
      <t xml:space="preserve">AI </t>
    </r>
    <r>
      <rPr>
        <sz val="11"/>
        <color theme="1"/>
        <rFont val="Noto Sans CJK SC"/>
        <family val="2"/>
      </rPr>
      <t xml:space="preserve">기반 탈신청주의 예방적 복지를 위한 법적 기반 강화</t>
    </r>
  </si>
  <si>
    <t xml:space="preserve">복지부·기후부는 금융위, 개인정보위, 국세청과 협력하여 신청주의적 관점에서 벗어나 AI 기반의 예방적 복지를 실현할 수 있도록 신청주의 완화, 복지급여 선제적 안내·제공의 법적 기반 강화를 위한 ｢사회보장기본법｣·｢사회보장급여법｣·｢아동수당법｣·｢저출산고령사회기본법｣·｢에너지법｣ 개정안을 ’26년 3분기까지 국회에 제출한다.</t>
  </si>
  <si>
    <t xml:space="preserve">복지부, 기후부</t>
  </si>
  <si>
    <t xml:space="preserve">개인정보위, 금융위, 국세청</t>
  </si>
  <si>
    <t xml:space="preserve">89-3</t>
  </si>
  <si>
    <r>
      <rPr>
        <sz val="11"/>
        <color theme="1"/>
        <rFont val="맑은 고딕"/>
        <family val="2"/>
        <charset val="1"/>
      </rPr>
      <t xml:space="preserve">AI </t>
    </r>
    <r>
      <rPr>
        <sz val="11"/>
        <color theme="1"/>
        <rFont val="Noto Sans CJK SC"/>
        <family val="2"/>
      </rPr>
      <t xml:space="preserve">기반 복지 위기 예측 모델 및 현장 연계 프로토콜 개발</t>
    </r>
    <r>
      <rPr>
        <sz val="11"/>
        <color theme="1"/>
        <rFont val="맑은 고딕"/>
        <family val="2"/>
        <charset val="1"/>
      </rPr>
      <t xml:space="preserve">·</t>
    </r>
    <r>
      <rPr>
        <sz val="11"/>
        <color theme="1"/>
        <rFont val="Noto Sans CJK SC"/>
        <family val="2"/>
      </rPr>
      <t xml:space="preserve">고도화</t>
    </r>
  </si>
  <si>
    <t xml:space="preserve">복지부는 행안부, 과기정통부, 국토부, 성평등부와 협력하여 ’26년 4분기까지 사회적 위기를 조기에 감지하고 지원할 수 있도록 AI 기반의 복지 위기 예측 모델 및 현장 연계 프로토콜을 개발하고 고도화한다.</t>
  </si>
  <si>
    <t xml:space="preserve">과기정통부, 성평등부, 국토부, 행안부</t>
  </si>
  <si>
    <t xml:space="preserve">89-4</t>
  </si>
  <si>
    <r>
      <rPr>
        <sz val="11"/>
        <color theme="1"/>
        <rFont val="맑은 고딕"/>
        <family val="2"/>
        <charset val="1"/>
      </rPr>
      <t xml:space="preserve">AI </t>
    </r>
    <r>
      <rPr>
        <sz val="11"/>
        <color theme="1"/>
        <rFont val="Noto Sans CJK SC"/>
        <family val="2"/>
      </rPr>
      <t xml:space="preserve">기반 돌봄 인프라 등 실증</t>
    </r>
  </si>
  <si>
    <t xml:space="preserve">과기정통부, 복지부는 국토부와 협력하여 ’27년 2분기까지 AI 기반 돌봄 인프라 및 인간-로봇 공존 마을형 실증사업을 위한 계획을 마련하고, ’30년 1분기까지 돌봄 로봇, 이동 보조, 생활안전 센서 등 핵심기술 실증과 상용화를 추진한다.</t>
  </si>
  <si>
    <t xml:space="preserve">과기정통부, 복지부</t>
  </si>
  <si>
    <t xml:space="preserve">89-5</t>
  </si>
  <si>
    <t xml:space="preserve">돌봄 분야 R&amp;D 투자 확대</t>
  </si>
  <si>
    <t xml:space="preserve">복지부는 과기정통부 등 관계 부처와 협력하여 인구 구조 변화에 대응함과 동시에 돌봄 분야에서 AI를 활용한 신산업 발굴을 위해 ’26년 4분기까지 돌봄 기술 R&amp;D 투자 방안을 적극적으로 논의하며, 관련 지원을 확대한다.</t>
  </si>
  <si>
    <r>
      <rPr>
        <sz val="11"/>
        <color theme="1"/>
        <rFont val="맑은 고딕"/>
        <family val="2"/>
        <charset val="1"/>
      </rPr>
      <t xml:space="preserve">90 AI </t>
    </r>
    <r>
      <rPr>
        <sz val="11"/>
        <color theme="1"/>
        <rFont val="Noto Sans CJK SC"/>
        <family val="2"/>
      </rPr>
      <t xml:space="preserve">기본 의료의 구현</t>
    </r>
  </si>
  <si>
    <t xml:space="preserve">90-1</t>
  </si>
  <si>
    <r>
      <rPr>
        <sz val="11"/>
        <color theme="1"/>
        <rFont val="맑은 고딕"/>
        <family val="2"/>
        <charset val="1"/>
      </rPr>
      <t xml:space="preserve">AI </t>
    </r>
    <r>
      <rPr>
        <sz val="11"/>
        <color theme="1"/>
        <rFont val="Noto Sans CJK SC"/>
        <family val="2"/>
      </rPr>
      <t xml:space="preserve">기본의료 추진 기본방향 수립</t>
    </r>
  </si>
  <si>
    <t xml:space="preserve">복지부는 부처 간 개별적인 사업 추진으로 인한 비효율을 해소하고 기술 개발 성과가 실제 의료 현장 적용까지 이어질 수 있도록, 과기정통부, 산업부, 식약처, 개보위, 질병청 등 관계부처와 협력하여 의료 AI R&amp;D 및 비 R&amp;D 사업과 정책 전반을 아우르는 AI 기본의료 추진 기본방향을 ‘26년 2분기까지 주관하여 수립한다.</t>
  </si>
  <si>
    <t xml:space="preserve">개인정보위, 과기정통부, 산업부, 질병청</t>
  </si>
  <si>
    <t xml:space="preserve">90-2</t>
  </si>
  <si>
    <r>
      <rPr>
        <sz val="11"/>
        <color theme="1"/>
        <rFont val="맑은 고딕"/>
        <family val="2"/>
        <charset val="1"/>
      </rPr>
      <t xml:space="preserve">AI </t>
    </r>
    <r>
      <rPr>
        <sz val="11"/>
        <color theme="1"/>
        <rFont val="Noto Sans CJK SC"/>
        <family val="2"/>
      </rPr>
      <t xml:space="preserve">기본의료 추진 방향을 고려한 예산 심의</t>
    </r>
    <r>
      <rPr>
        <sz val="11"/>
        <color theme="1"/>
        <rFont val="맑은 고딕"/>
        <family val="2"/>
        <charset val="1"/>
      </rPr>
      <t xml:space="preserve">·</t>
    </r>
    <r>
      <rPr>
        <sz val="11"/>
        <color theme="1"/>
        <rFont val="Noto Sans CJK SC"/>
        <family val="2"/>
      </rPr>
      <t xml:space="preserve">배분</t>
    </r>
  </si>
  <si>
    <t xml:space="preserve">기획예산처와 과학기술혁신본부 등 예산 심의 부처는 '27년도부터 관련 예산을 심의·배분함에 있어 AI 기본의료 추진 방향을 고려함으로써, 범부처 차원의 이행력과 사업 간 연계성을 제고한다.</t>
  </si>
  <si>
    <t xml:space="preserve">기획처, 과기정통부</t>
  </si>
  <si>
    <t xml:space="preserve">90-3</t>
  </si>
  <si>
    <r>
      <rPr>
        <sz val="11"/>
        <color theme="1"/>
        <rFont val="맑은 고딕"/>
        <family val="2"/>
        <charset val="1"/>
      </rPr>
      <t xml:space="preserve">AI </t>
    </r>
    <r>
      <rPr>
        <sz val="11"/>
        <color theme="1"/>
        <rFont val="Noto Sans CJK SC"/>
        <family val="2"/>
      </rPr>
      <t xml:space="preserve">기반 지역 의료 격차 해소 및 보편적 건강권 실현</t>
    </r>
  </si>
  <si>
    <t xml:space="preserve">복지부는 AI 기본의료 추진 기본방향에 맞춰 지역 간 의료 접근 격차를 해소하고 AI기본사회가 지향하는 보편적 건강권을 실현할 수 있도록, AI 공동진료·응급의료 자원 연계 시스템 및 구축 방안을 ’26년 4분기까지 마련하고, 응급 상황에서도 대응이 가능한 AI 예측 및 중증도 분류 체계 마련 및 실증을 ’28년 4분기까지 진행한다. 또한, '27년 4분기까지 의료 인력이 부족한 지역에서도 진료 공백이 없도록 의료인 간 원격 협진 활성화 지원 및 의료인의 진료지원·보조를 위한 시스템을 구축하고, '28년 1분기부터 AI 솔루션 등을 단계적으로 도입하여 AI 기반 원격 협진 서비스를 활성화한다. </t>
  </si>
  <si>
    <t xml:space="preserve">90-4</t>
  </si>
  <si>
    <r>
      <rPr>
        <sz val="11"/>
        <color theme="1"/>
        <rFont val="맑은 고딕"/>
        <family val="2"/>
        <charset val="1"/>
      </rPr>
      <t xml:space="preserve">AI </t>
    </r>
    <r>
      <rPr>
        <sz val="11"/>
        <color theme="1"/>
        <rFont val="Noto Sans CJK SC"/>
        <family val="2"/>
      </rPr>
      <t xml:space="preserve">활용 건강관리 고도화</t>
    </r>
  </si>
  <si>
    <t xml:space="preserve">복지부는 '26년 4분기까지 AI 활용 건강관리 고도화 방안을 마련하고, '27년 2분기부터 AI 솔루션 등을 단계적으로 도입하여 맞춤형 서비스 제공을 활성화 한다.</t>
  </si>
  <si>
    <t xml:space="preserve">90-5</t>
  </si>
  <si>
    <r>
      <rPr>
        <sz val="11"/>
        <color theme="1"/>
        <rFont val="맑은 고딕"/>
        <family val="2"/>
        <charset val="1"/>
      </rPr>
      <t xml:space="preserve">AI </t>
    </r>
    <r>
      <rPr>
        <sz val="11"/>
        <color theme="1"/>
        <rFont val="Noto Sans CJK SC"/>
        <family val="2"/>
      </rPr>
      <t xml:space="preserve">감염병 예측 및 </t>
    </r>
    <r>
      <rPr>
        <sz val="11"/>
        <color theme="1"/>
        <rFont val="맑은 고딕"/>
        <family val="2"/>
        <charset val="1"/>
      </rPr>
      <t xml:space="preserve">AI </t>
    </r>
    <r>
      <rPr>
        <sz val="11"/>
        <color theme="1"/>
        <rFont val="Noto Sans CJK SC"/>
        <family val="2"/>
      </rPr>
      <t xml:space="preserve">건강정보 제공</t>
    </r>
  </si>
  <si>
    <t xml:space="preserve">질병청은 AI 기본의료 추진 기본방향에 맞춰 ’28년 1분기까지, 미래 팬데믹에 대비하는 방역체계로서 감염병 데이터를 통합 분석하는 AI 감염병 예측 체계 및 국가 건강 조사 데이터를 활용해 개인의 건강 습관을 개선할 수 있는 ‘AI 건강 정보 제공 체계’를 구축한다.</t>
  </si>
  <si>
    <t xml:space="preserve">질병청</t>
  </si>
  <si>
    <t xml:space="preserve">90-6</t>
  </si>
  <si>
    <t xml:space="preserve">데이터 기반 의료 안전성 제고 및 의료종사자 AI 역량 강화</t>
  </si>
  <si>
    <t xml:space="preserve">복지부는 ’26년 4분기까지 의료데이터 품질 인증 및 AI 신뢰성·투명성 평가 방안을 마련하여 데이터 기반 의료의 안전성을 높이고, ’27년 1분기부터 의료 종사자 대상 AI 윤리·활용 교육을 지원함으로써 의료 종사자가 AI의 진단·판단을 임상적으로 해석·검증할 수 있는 역량을 강화한다.</t>
  </si>
  <si>
    <r>
      <rPr>
        <sz val="11"/>
        <color theme="1"/>
        <rFont val="맑은 고딕"/>
        <family val="2"/>
        <charset val="1"/>
      </rPr>
      <t xml:space="preserve">91 AI </t>
    </r>
    <r>
      <rPr>
        <sz val="11"/>
        <color theme="1"/>
        <rFont val="Noto Sans CJK SC"/>
        <family val="2"/>
      </rPr>
      <t xml:space="preserve">범죄 근절 및 대응 역량 강화</t>
    </r>
  </si>
  <si>
    <t xml:space="preserve">91-1</t>
  </si>
  <si>
    <r>
      <rPr>
        <sz val="11"/>
        <color theme="1"/>
        <rFont val="맑은 고딕"/>
        <family val="2"/>
        <charset val="1"/>
      </rPr>
      <t xml:space="preserve">AI </t>
    </r>
    <r>
      <rPr>
        <sz val="11"/>
        <color theme="1"/>
        <rFont val="Noto Sans CJK SC"/>
        <family val="2"/>
      </rPr>
      <t xml:space="preserve">악용 범죄 근절 종합 대응</t>
    </r>
  </si>
  <si>
    <t xml:space="preserve">방미통위는 AI를 악용한 범죄와 사기가 근절되는 안전한 AI 사회 실현을 위해 과기정통부, 외교부, 성평등부, 법무부, 경찰청, 개보위, 금융위 등 관계 부처와 협력하여 피해자 중심의 관점에서 ’26년 2분기까지 ｢AI 범죄 근절 종합 대응 계획｣을 수립하되, 동 대응 계획은 예방–탐지–대응–복구 전 단계를 아우르는 AI 보안·복원 통합체계를 핵심축으로 하며, AI 기반 금융사기(보이스피싱·딥페이크 금융사기), AI 악용 성범죄(딥페이크 성적 영상물 등) 등 국민의 생명·재산·인권에 직접 피해를 주는 범죄에 관하여 피해 회복을 포함한 범정부적 대응체계와 상시 대응을 위한 범정부적 거버넌스를 구축하는 내용을 포함하여야 한다.</t>
  </si>
  <si>
    <t xml:space="preserve">방미통위</t>
  </si>
  <si>
    <t xml:space="preserve">개인정보위, 과기정통부, 성평등부, 경찰청, 금융위, 법무부, 외교부</t>
  </si>
  <si>
    <t xml:space="preserve">91-2</t>
  </si>
  <si>
    <r>
      <rPr>
        <sz val="11"/>
        <color theme="1"/>
        <rFont val="맑은 고딕"/>
        <family val="2"/>
        <charset val="1"/>
      </rPr>
      <t xml:space="preserve">AI </t>
    </r>
    <r>
      <rPr>
        <sz val="11"/>
        <color theme="1"/>
        <rFont val="Noto Sans CJK SC"/>
        <family val="2"/>
      </rPr>
      <t xml:space="preserve">범죄 실시간 차단 및 원스톱 피해 지원</t>
    </r>
  </si>
  <si>
    <t xml:space="preserve">방미통위와 과기정통부, 경찰청, 성평등부는 ’26년 4분기까지 통신사·금융회사·플랫폼 사업자가 참여하는 AI 범죄 실시간 차단망을 구축하고, ’26년 4분기부터 피해 발생 시 즉시 신고–차단–수사–심리 지원–법률 지원이 연계되는 원스톱 피해 지원체계를 운영한다.</t>
  </si>
  <si>
    <t xml:space="preserve">방미통위, 과기정통부, 경찰청, 성평등부</t>
  </si>
  <si>
    <t xml:space="preserve">91-3</t>
  </si>
  <si>
    <r>
      <rPr>
        <sz val="11"/>
        <color theme="1"/>
        <rFont val="맑은 고딕"/>
        <family val="2"/>
        <charset val="1"/>
      </rPr>
      <t xml:space="preserve">AI </t>
    </r>
    <r>
      <rPr>
        <sz val="11"/>
        <color theme="1"/>
        <rFont val="Noto Sans CJK SC"/>
        <family val="2"/>
      </rPr>
      <t xml:space="preserve">활용 불법 정보 피해 방지 및 </t>
    </r>
    <r>
      <rPr>
        <sz val="11"/>
        <color theme="1"/>
        <rFont val="맑은 고딕"/>
        <family val="2"/>
        <charset val="1"/>
      </rPr>
      <t xml:space="preserve">AI </t>
    </r>
    <r>
      <rPr>
        <sz val="11"/>
        <color theme="1"/>
        <rFont val="Noto Sans CJK SC"/>
        <family val="2"/>
      </rPr>
      <t xml:space="preserve">서비스 이용자 권리 보장을 위한 법</t>
    </r>
    <r>
      <rPr>
        <sz val="11"/>
        <color theme="1"/>
        <rFont val="맑은 고딕"/>
        <family val="2"/>
        <charset val="1"/>
      </rPr>
      <t xml:space="preserve">·</t>
    </r>
    <r>
      <rPr>
        <sz val="11"/>
        <color theme="1"/>
        <rFont val="Noto Sans CJK SC"/>
        <family val="2"/>
      </rPr>
      <t xml:space="preserve">제도 개선</t>
    </r>
  </si>
  <si>
    <t xml:space="preserve">방미통위는 성평등부와 협력하여 국민 모두가 안심하고 이용하는 AI 서비스 환경을 조성하기 위해 딥페이크 성범죄물 등 AI 활용 불법 정보 생성 및 유통으로 인한 피해 방지, 유해 AI 서비스로부터 아동·청소년 보호, 플랫폼 사업자 책임과 역할 명확화 및 AI 서비스의 이용자 권리를 보장하는 법·제도를 ’27년 4분기까지 마련한다.</t>
  </si>
  <si>
    <t xml:space="preserve">성평등부</t>
  </si>
  <si>
    <t xml:space="preserve">91-4</t>
  </si>
  <si>
    <r>
      <rPr>
        <sz val="11"/>
        <color theme="1"/>
        <rFont val="맑은 고딕"/>
        <family val="2"/>
        <charset val="1"/>
      </rPr>
      <t xml:space="preserve">AI</t>
    </r>
    <r>
      <rPr>
        <sz val="11"/>
        <color theme="1"/>
        <rFont val="Noto Sans CJK SC"/>
        <family val="2"/>
      </rPr>
      <t xml:space="preserve">시대 개인정보 보호 및 불법유통 방지</t>
    </r>
  </si>
  <si>
    <t xml:space="preserve">개인정보위는 국민 개인정보의 대규모 불법 유통·확산을 근본적으로 차단할 수 있도록 경찰청, 과기정통부, 국정원 등 관계 부처와 협력하여 「AI 시대 개인정보 보호 및 불법유통 방지 방안」을 ’26년 2분기까지 마련한다.</t>
  </si>
  <si>
    <t xml:space="preserve">과기정통부, 경찰청, 국정원</t>
  </si>
  <si>
    <t xml:space="preserve">91-5</t>
  </si>
  <si>
    <t xml:space="preserve">딥페이크 성범죄 수사 역량 강화 및 피해자 지원 확대</t>
  </si>
  <si>
    <t xml:space="preserve">경찰청은 딥페이크 성범죄 전담 수사 및 디지털포렌식 역량을 지속적으로 강화하고, 성평등부는 딥페이크 성범죄물 탐지·추적 및 삭제 지원 등 피해자 지원을 계속적으로 확대한다.</t>
  </si>
  <si>
    <t xml:space="preserve">경찰청</t>
  </si>
  <si>
    <t xml:space="preserve">91-6</t>
  </si>
  <si>
    <r>
      <rPr>
        <sz val="11"/>
        <color theme="1"/>
        <rFont val="맑은 고딕"/>
        <family val="2"/>
        <charset val="1"/>
      </rPr>
      <t xml:space="preserve">AI </t>
    </r>
    <r>
      <rPr>
        <sz val="11"/>
        <color theme="1"/>
        <rFont val="Noto Sans CJK SC"/>
        <family val="2"/>
      </rPr>
      <t xml:space="preserve">범죄 해외 추적 국제협력 지속 강화</t>
    </r>
  </si>
  <si>
    <t xml:space="preserve">법무부와 외교부는 해외 서버·자금흐름·유통망을 추적하기 위한 국제협력을 지속적으로 강화한다.</t>
  </si>
  <si>
    <t xml:space="preserve">법무부, 외교부</t>
  </si>
  <si>
    <r>
      <rPr>
        <sz val="11"/>
        <color theme="1"/>
        <rFont val="맑은 고딕"/>
        <family val="2"/>
        <charset val="1"/>
      </rPr>
      <t xml:space="preserve">92 </t>
    </r>
    <r>
      <rPr>
        <sz val="11"/>
        <color theme="1"/>
        <rFont val="Noto Sans CJK SC"/>
        <family val="2"/>
      </rPr>
      <t xml:space="preserve">국민 금융 안전 제고 및 </t>
    </r>
    <r>
      <rPr>
        <sz val="11"/>
        <color theme="1"/>
        <rFont val="맑은 고딕"/>
        <family val="2"/>
        <charset val="1"/>
      </rPr>
      <t xml:space="preserve">AI </t>
    </r>
    <r>
      <rPr>
        <sz val="11"/>
        <color theme="1"/>
        <rFont val="Noto Sans CJK SC"/>
        <family val="2"/>
      </rPr>
      <t xml:space="preserve">기반 포용적 금융안전망 구축
</t>
    </r>
  </si>
  <si>
    <t xml:space="preserve">92-1</t>
  </si>
  <si>
    <r>
      <rPr>
        <sz val="11"/>
        <color theme="1"/>
        <rFont val="맑은 고딕"/>
        <family val="2"/>
        <charset val="1"/>
      </rPr>
      <t xml:space="preserve">AI </t>
    </r>
    <r>
      <rPr>
        <sz val="11"/>
        <color theme="1"/>
        <rFont val="Noto Sans CJK SC"/>
        <family val="2"/>
      </rPr>
      <t xml:space="preserve">기반 금융 안전</t>
    </r>
    <r>
      <rPr>
        <sz val="11"/>
        <color theme="1"/>
        <rFont val="맑은 고딕"/>
        <family val="2"/>
        <charset val="1"/>
      </rPr>
      <t xml:space="preserve">·</t>
    </r>
    <r>
      <rPr>
        <sz val="11"/>
        <color theme="1"/>
        <rFont val="Noto Sans CJK SC"/>
        <family val="2"/>
      </rPr>
      <t xml:space="preserve">포용 인프라 고도화</t>
    </r>
  </si>
  <si>
    <t xml:space="preserve">금융위는 금융보안원, 개인정보위, 과기정통부와 협력하여 ｢AI 기반 금융 안전·포용 인프라 로드맵｣을 ’26년 1분기까지 수립한다. 동 로드맵은 통신사가 보유한 보이스피싱 정보를 집중·연계해 AI 사기 거래 탐지 시스템을 고도화하는 등 금융사기 방지책 및 대안 신용평가 모델을 개발해 개발해 금융이력 부족자의 접근성을 강화하는 단기 과제와, 자금세탁방지 시스템에 AI를 도입해 민생범죄 등을 효율적으로 탐지하는 금융안전망 강화, AI 금융 역량 플랫폼 및 금융권의 통합 재무설계 서비스 고도화를 통한 국민 금융 역량 제고 등 중장기 과제 및 프로세스별 이용자 보호·정보 보안전략 고도화를 포함하며, 이를 ’27년 4분기까지 단계적으로 추진한다.</t>
  </si>
  <si>
    <t xml:space="preserve">92-2</t>
  </si>
  <si>
    <r>
      <rPr>
        <sz val="11"/>
        <color theme="1"/>
        <rFont val="맑은 고딕"/>
        <family val="2"/>
        <charset val="1"/>
      </rPr>
      <t xml:space="preserve">AI </t>
    </r>
    <r>
      <rPr>
        <sz val="11"/>
        <color theme="1"/>
        <rFont val="Noto Sans CJK SC"/>
        <family val="2"/>
      </rPr>
      <t xml:space="preserve">활용 전세사기 예방 및 부동산 인허가 사전 진단</t>
    </r>
  </si>
  <si>
    <t xml:space="preserve">국토부는 금융위, 과기정통부, 개인정보위, 행안부와 협력하여 ’27년 4분기까지 AI를 활용한 전세사기 예방을 위한 방안을 마련하고, AI 부동산 인허가 사전 진단 서비스를 제공한다.</t>
  </si>
  <si>
    <t xml:space="preserve">개인정보위, 과기정통부, 금융위, 행안부</t>
  </si>
  <si>
    <r>
      <rPr>
        <sz val="11"/>
        <color theme="1"/>
        <rFont val="맑은 고딕"/>
        <family val="2"/>
        <charset val="1"/>
      </rPr>
      <t xml:space="preserve">93 </t>
    </r>
    <r>
      <rPr>
        <sz val="11"/>
        <color theme="1"/>
        <rFont val="Noto Sans CJK SC"/>
        <family val="2"/>
      </rPr>
      <t xml:space="preserve">전 국민 </t>
    </r>
    <r>
      <rPr>
        <sz val="11"/>
        <color theme="1"/>
        <rFont val="맑은 고딕"/>
        <family val="2"/>
        <charset val="1"/>
      </rPr>
      <t xml:space="preserve">AI </t>
    </r>
    <r>
      <rPr>
        <sz val="11"/>
        <color theme="1"/>
        <rFont val="Noto Sans CJK SC"/>
        <family val="2"/>
      </rPr>
      <t xml:space="preserve">역량 대전환 프로젝트</t>
    </r>
  </si>
  <si>
    <t xml:space="preserve">93-1</t>
  </si>
  <si>
    <t xml:space="preserve">국민 AI 기본역량 교육</t>
  </si>
  <si>
    <t xml:space="preserve">과기정통부는 '26년 1분기부터 AI 기본역량 커리큘럼과 핵심 교육 콘텐츠를 개발하고, AI 활용이 어려운 국민을 위한 교육 운영 계획을 수립하여 모든 시·도에 지역 거점 기반의 AI·디지털 학습 공간을 운영하며 복지시설 등에 찾아가는 AI 기본 역량 교육을 추진한다.</t>
  </si>
  <si>
    <t xml:space="preserve">93-2</t>
  </si>
  <si>
    <t xml:space="preserve">대학 AI 활용 윤리 가이드라인 개발·배포 및 대학 AI 교육과정 개발·공유·확산 지원</t>
  </si>
  <si>
    <t xml:space="preserve">교육부는 대학의 교과 과정 및 비교과 과정 전반에서 AI 활용 윤리를 확보하기 위해 ‘(가칭) 대학 AI 활용 윤리 가이드라인’을 '26년 1분기까지 개발·배포하고, 모든 대학생이 AI 윤리와 기본 역량을 포함한 AI 기초 역량을 갖출 수 있도록 '26년 1분기부터 대학의 AI 교육과정 개발·공유·확산을 지원한다.</t>
  </si>
  <si>
    <t xml:space="preserve">93-3</t>
  </si>
  <si>
    <t xml:space="preserve">생애주기별 맞춤형 AI 기본역량 프로그램 확산</t>
  </si>
  <si>
    <t xml:space="preserve">교육부는 성인·고령층 등 생애주기별 맞춤형 AI 기본역량 프로그램을 '26년 2분기까지 설계하고, AI·디지털 평생교육이용권 등 기운영중인 프로그램을 점검 후 평생교육기관 등을 중심으로 확산한다.</t>
  </si>
  <si>
    <t xml:space="preserve">93-4</t>
  </si>
  <si>
    <t xml:space="preserve">공공부문 AI 기본역량 교육</t>
  </si>
  <si>
    <t xml:space="preserve">행안부는 공공부문 및 지방정부 중심의 AI 기본역량 교육 목표와 실행계획을 ’26년 2분기까지 수립한다.</t>
  </si>
  <si>
    <t xml:space="preserve">93-5</t>
  </si>
  <si>
    <t xml:space="preserve">중·고등학생 AI 기본역량 교육</t>
  </si>
  <si>
    <t xml:space="preserve">문체부는 현행 중학생 대상 AI 기본역량 교육을 확대하여 고등학생 대상 AI 기본역량 교육을 지원한다. 이를 위해 중·고등학교에서의 AI 기본역량 교육 진행을 위한 교원 양성과 학교 교육 지원에 대한 프로그램 목표 및 실행계획을 ’26년 2분기까지 수립하고, 3분기 중에 시범 교육을 시행한다. 또한, 도서관에서 공공 AI 체험 및 학습 플랫폼 마련 등을 위한 정책연구를 ’26년 4분기까지 수행한다.</t>
  </si>
  <si>
    <t xml:space="preserve">93-6</t>
  </si>
  <si>
    <r>
      <rPr>
        <sz val="11"/>
        <color theme="1"/>
        <rFont val="맑은 고딕"/>
        <family val="2"/>
        <charset val="1"/>
      </rPr>
      <t xml:space="preserve">AI </t>
    </r>
    <r>
      <rPr>
        <sz val="11"/>
        <color theme="1"/>
        <rFont val="Noto Sans CJK SC"/>
        <family val="2"/>
      </rPr>
      <t xml:space="preserve">이용자 윤리 등 미디어 역량 교육</t>
    </r>
  </si>
  <si>
    <t xml:space="preserve">방미통위는 교육부 등 관계부처와 협력하여 AI 활용, 역기능 대응, 윤리 등 미디어 역량 교육을 '26년 1분기부터 수행한다. 또한 전국의 기존 미디어 인프라와 방송·온라인 플랫폼을 활용하여 AI시대에 필요한 건전한 미디어 활용 및 윤리 교육 콘텐츠를 개발·확산하며, AI 이용자 윤리 역량을 강화하는 역할을 수행한다.</t>
  </si>
  <si>
    <r>
      <rPr>
        <sz val="11"/>
        <color theme="1"/>
        <rFont val="맑은 고딕"/>
        <family val="2"/>
        <charset val="1"/>
      </rPr>
      <t xml:space="preserve">94 </t>
    </r>
    <r>
      <rPr>
        <sz val="11"/>
        <color theme="1"/>
        <rFont val="Noto Sans CJK SC"/>
        <family val="2"/>
      </rPr>
      <t xml:space="preserve">지역</t>
    </r>
    <r>
      <rPr>
        <sz val="11"/>
        <color theme="1"/>
        <rFont val="맑은 고딕"/>
        <family val="2"/>
        <charset val="1"/>
      </rPr>
      <t xml:space="preserve">·</t>
    </r>
    <r>
      <rPr>
        <sz val="11"/>
        <color theme="1"/>
        <rFont val="Noto Sans CJK SC"/>
        <family val="2"/>
      </rPr>
      <t xml:space="preserve">계층 간 </t>
    </r>
    <r>
      <rPr>
        <sz val="11"/>
        <color theme="1"/>
        <rFont val="맑은 고딕"/>
        <family val="2"/>
        <charset val="1"/>
      </rPr>
      <t xml:space="preserve">AI </t>
    </r>
    <r>
      <rPr>
        <sz val="11"/>
        <color theme="1"/>
        <rFont val="Noto Sans CJK SC"/>
        <family val="2"/>
      </rPr>
      <t xml:space="preserve">교육격차 해소를 위한 지원체계 강화</t>
    </r>
  </si>
  <si>
    <t xml:space="preserve">94-1</t>
  </si>
  <si>
    <t xml:space="preserve">지역별 AI 교육격차 실태조사 및 AI 교육지원센터 설립·운영</t>
  </si>
  <si>
    <t xml:space="preserve">교육부는 시도교육청과 협력하여 정보교육 실태조사(지역별 AI 교육격차 실태 포함)를 ’26년 4분기까지 완료한다. 시도교육청 단위의 AI 교육지원센터 설립·운영 방안은 ’26년 4분기까지 수립하며, 시범지역·기관을 중심으로 인프라·연수·콘텐츠 지원체계를 ’27년 1분기부터 가동한다.</t>
  </si>
  <si>
    <t xml:space="preserve">94-2</t>
  </si>
  <si>
    <r>
      <rPr>
        <sz val="11"/>
        <color theme="1"/>
        <rFont val="맑은 고딕"/>
        <family val="2"/>
        <charset val="1"/>
      </rPr>
      <t xml:space="preserve"> AI·SW </t>
    </r>
    <r>
      <rPr>
        <sz val="11"/>
        <color theme="1"/>
        <rFont val="Noto Sans CJK SC"/>
        <family val="2"/>
      </rPr>
      <t xml:space="preserve">인프라 취약 지역 대상 체험공간 및 교육 제공</t>
    </r>
  </si>
  <si>
    <t xml:space="preserve">과기정통부는 AI·SW 인프라 취약 지역을 대상으로 체험공간 운영 및 맞춤형 교육프로그램을 ’26년 1분기부터 제공함으로써 초·중등학생의 AI 교육격차 해소를 추진한다.</t>
  </si>
  <si>
    <t xml:space="preserve">94-3</t>
  </si>
  <si>
    <t xml:space="preserve">디지털 접근성 낮은 계층 대상 맞춤형 AI 학습 지원</t>
  </si>
  <si>
    <t xml:space="preserve">과기정통부는 복지부 등 관계부처와 협력하여 디지털 접근성이 낮은 계층을 위해 맞춤형 AI 학습 지원계획을 토대로 ’26년 2분기부터 복지시설 및 지역 커뮤니티 등에 찾아가는 교육 프로그램을 운영한다.</t>
  </si>
  <si>
    <t xml:space="preserve">94-4</t>
  </si>
  <si>
    <t xml:space="preserve">지역 협력망 기반 맞춤형 AI 교육</t>
  </si>
  <si>
    <t xml:space="preserve">교육부와 시도교육청은 ’26년부터 지역별 교육격차 분석과 수요조사를 실시하고, ’26년 3분기부터 지역 협력망(학교–대학–기업)을 구성해 지역 맞춤형 AI 교육 프로그램을 운영한다.</t>
  </si>
  <si>
    <t xml:space="preserve">94-5</t>
  </si>
  <si>
    <t xml:space="preserve">지방정부별 AI 기본역량 허브 지정 및 운영</t>
  </si>
  <si>
    <t xml:space="preserve">과기정통부는 관계 부처와 협력하여 지역 AI 기본역량 허브 운영 방향을 마련하여 광역지방정부별 AI 기본역량 허브 구축·지정을 ’26년 1분기까지 완료하며, ’26년 3분기에는 각 기관별 AI 기본역량교육(재교육 포함), 개발역량 강화 실습(리빙 랩), AI 혁신·협업 인프라를 종합 제공하는 AI 기본역량 허브를 운영한다.</t>
  </si>
  <si>
    <t xml:space="preserve">94-6</t>
  </si>
  <si>
    <t xml:space="preserve">지역 AI 기본역량 허브 운영 지원</t>
  </si>
  <si>
    <t xml:space="preserve">과기정통부는 지역 AI 기본역량 허브 운영을 위해 ’26년 1분기부터 기술 자문과 인프라 구축을 지원한다.</t>
  </si>
  <si>
    <t xml:space="preserve">94-7</t>
  </si>
  <si>
    <t xml:space="preserve">지역대학 중심 AI 교육·연구·평생학습 연계</t>
  </si>
  <si>
    <t xml:space="preserve">교육부는 지역대학을 중심으로 한 AI 교육·연구·평생학습 연계 체계를 ’26년 2분기까지 설계하고, ’26년 3분기에는 지역대학 간 품질관리·프로그램 공유체계를 구축한다.</t>
  </si>
  <si>
    <t xml:space="preserve">94-8</t>
  </si>
  <si>
    <t xml:space="preserve">지역 AI 기본역량 허브 기반 지역 직업훈련·전환 프로그램 시행</t>
  </si>
  <si>
    <t xml:space="preserve">노동부는 지역 AI 기본역량 허브를 기반으로 한 지역 직업훈련·전환 프로그램 설계안을 ’26년 2분기까지 마련하고, ’26년 3분기부터 재교육 프로그램을 시행한다.</t>
  </si>
  <si>
    <r>
      <rPr>
        <sz val="11"/>
        <color theme="1"/>
        <rFont val="맑은 고딕"/>
        <family val="2"/>
        <charset val="1"/>
      </rPr>
      <t xml:space="preserve">95 </t>
    </r>
    <r>
      <rPr>
        <sz val="11"/>
        <color theme="1"/>
        <rFont val="Noto Sans CJK SC"/>
        <family val="2"/>
      </rPr>
      <t xml:space="preserve">민관 협력형 </t>
    </r>
    <r>
      <rPr>
        <sz val="11"/>
        <color theme="1"/>
        <rFont val="맑은 고딕"/>
        <family val="2"/>
        <charset val="1"/>
      </rPr>
      <t xml:space="preserve">AI </t>
    </r>
    <r>
      <rPr>
        <sz val="11"/>
        <color theme="1"/>
        <rFont val="Noto Sans CJK SC"/>
        <family val="2"/>
      </rPr>
      <t xml:space="preserve">교육정책 연구체계 구축</t>
    </r>
  </si>
  <si>
    <t xml:space="preserve">95-1</t>
  </si>
  <si>
    <t xml:space="preserve">범부처 AI교육위원회 및 지원조직 운영</t>
  </si>
  <si>
    <t xml:space="preserve">교육부는 범부처 AI교육위원회와 지원조직 운영을 위한 기본계획을 ’26년 2분기까지 마련하고, 이후 기본계획에 따라 정책·연구·성과평가 기능을 통합한 운영을 시작한다.</t>
  </si>
  <si>
    <t xml:space="preserve">95-2</t>
  </si>
  <si>
    <t xml:space="preserve">국가 AI 교육 연구센터 설립 및 운영</t>
  </si>
  <si>
    <t xml:space="preserve">교육부는 ‘국가 AI 교육 연구센터(가칭)’ 설립계획 수립 후 센터 내 교육 AI 기술 연구 및 데이터 인프라 연계 방안을 ’26년 3분기까지 마련하고, 산업계·연구기관 협력 네트워크를 ’26년 2분기까지 설계하며, ’26년 3분기부터 국가 파운데이션 모델 기반의 교육 AI 연구 체계 구축을 지원한다.</t>
  </si>
  <si>
    <t xml:space="preserve">95-3</t>
  </si>
  <si>
    <t xml:space="preserve">민간 에듀테크 기업 등 산학연 협력 기반 교육 AI 연구 생태계 조성</t>
  </si>
  <si>
    <t xml:space="preserve">교육부는 산업부와 협력하여 ’26년 4분기까지 민간 에듀테크 기업의 연구·실증 참여를 위한 협력 모델을 구축하고, ’27년 1분기부터 산학연 협력 기반 교육AI 연구 생태계를 운영한다.</t>
  </si>
  <si>
    <t xml:space="preserve">95-4</t>
  </si>
  <si>
    <t xml:space="preserve">교육연구센터 연계 AI 교육정책 기획</t>
  </si>
  <si>
    <t xml:space="preserve">국교위는 ’26년 3분기부터 센터가 국가교육 과정, 국가교육 발전계획 등과 정합된 AI 교육정책을 기획할 수 있도록 국교위가 지정·운영하는 교육연구센터와의 연계 방안을 모색하고, ’26년 4분기에는 교육연구센터와 함께 정책 자문 및 제도 지원을 수행하는 등 시범운영에 협력한다.</t>
  </si>
  <si>
    <t xml:space="preserve">국교위</t>
  </si>
  <si>
    <r>
      <rPr>
        <sz val="11"/>
        <color theme="1"/>
        <rFont val="맑은 고딕"/>
        <family val="2"/>
        <charset val="1"/>
      </rPr>
      <t xml:space="preserve">2. </t>
    </r>
    <r>
      <rPr>
        <sz val="11"/>
        <color theme="1"/>
        <rFont val="Noto Sans CJK SC"/>
        <family val="2"/>
      </rPr>
      <t xml:space="preserve">범국가 </t>
    </r>
    <r>
      <rPr>
        <sz val="11"/>
        <color theme="1"/>
        <rFont val="맑은 고딕"/>
        <family val="2"/>
        <charset val="1"/>
      </rPr>
      <t xml:space="preserve">AI </t>
    </r>
    <r>
      <rPr>
        <sz val="11"/>
        <color theme="1"/>
        <rFont val="Noto Sans CJK SC"/>
        <family val="2"/>
      </rPr>
      <t xml:space="preserve">기반 대전환</t>
    </r>
  </si>
  <si>
    <r>
      <rPr>
        <sz val="11"/>
        <color theme="1"/>
        <rFont val="맑은 고딕"/>
        <family val="2"/>
        <charset val="1"/>
      </rPr>
      <t xml:space="preserve">96 </t>
    </r>
    <r>
      <rPr>
        <sz val="11"/>
        <color theme="1"/>
        <rFont val="Noto Sans CJK SC"/>
        <family val="2"/>
      </rPr>
      <t xml:space="preserve">교육 </t>
    </r>
    <r>
      <rPr>
        <sz val="11"/>
        <color theme="1"/>
        <rFont val="맑은 고딕"/>
        <family val="2"/>
        <charset val="1"/>
      </rPr>
      <t xml:space="preserve">AI</t>
    </r>
    <r>
      <rPr>
        <sz val="11"/>
        <color theme="1"/>
        <rFont val="Noto Sans CJK SC"/>
        <family val="2"/>
      </rPr>
      <t xml:space="preserve">서비스의 품질과 안전성을 위한 실증</t>
    </r>
    <r>
      <rPr>
        <sz val="11"/>
        <color theme="1"/>
        <rFont val="맑은 고딕"/>
        <family val="2"/>
        <charset val="1"/>
      </rPr>
      <t xml:space="preserve">·</t>
    </r>
    <r>
      <rPr>
        <sz val="11"/>
        <color theme="1"/>
        <rFont val="Noto Sans CJK SC"/>
        <family val="2"/>
      </rPr>
      <t xml:space="preserve">평가</t>
    </r>
    <r>
      <rPr>
        <sz val="11"/>
        <color theme="1"/>
        <rFont val="맑은 고딕"/>
        <family val="2"/>
        <charset val="1"/>
      </rPr>
      <t xml:space="preserve">·</t>
    </r>
    <r>
      <rPr>
        <sz val="11"/>
        <color theme="1"/>
        <rFont val="Noto Sans CJK SC"/>
        <family val="2"/>
      </rPr>
      <t xml:space="preserve">확산체계 구축</t>
    </r>
  </si>
  <si>
    <t xml:space="preserve">96-1</t>
  </si>
  <si>
    <t xml:space="preserve">교육 AI 통합 거버넌스 설계 및 교육 AI 규제샌드박스 운영</t>
  </si>
  <si>
    <t xml:space="preserve">교육부는 ’26년 1분기까지 관계부처 협의체를 구성하고, ’26년 4분기까지 교육에 활용되는 AI에 대한 실증–평가–확산이 연계되는 통합 거버넌스 설계안을 마련하며, ’27년 1분기부터 교육 AI 규제샌드박스 시범운영을 추진한다. 국교위는 ’27년 1분기부터 교육부의 통합 거버넌스 설계안을 기반으로 교육 AI와 국가교육 과정 방향의 정합성 및 윤리·법제 기준, 정책 가이드라인을 검토한다.</t>
  </si>
  <si>
    <t xml:space="preserve">96-2</t>
  </si>
  <si>
    <t xml:space="preserve">교육AI 안정성 확보를 위한 개발 가이드라인 마련·확산</t>
  </si>
  <si>
    <t xml:space="preserve">과기정통부는 교육부와 협력을 통해 교육AI 안정성 확보를 위한 교육AI 개발 가이드라인 연구를 추진 및 검증·보완하여 ’26년 2분기까지 가이드라인을 확정하며, ’26년 3분기부터 교육 현장에 확산을 추진한다.</t>
  </si>
  <si>
    <t xml:space="preserve">96-3</t>
  </si>
  <si>
    <t xml:space="preserve">교육AI 민간기업 실증 참여 및 공공 확산</t>
  </si>
  <si>
    <t xml:space="preserve">산업부는 ’26년 4분기까지 민간기업의 실증 참여모델을 설계하고, ’27년 1분기부터 인증·조달 연계 체계를 구축해 검증된 AI 교육 서비스의 공공 확산을 추진한다.</t>
  </si>
  <si>
    <t xml:space="preserve">96-4</t>
  </si>
  <si>
    <t xml:space="preserve">각급학교 교육 AI 개발·활용 시 개인정보 보호 지침 마련 및 점검·감독</t>
  </si>
  <si>
    <t xml:space="preserve">교육부는 ’26년 4분기까지 개인정보위와 협의하여, 「유아교육법」, 「초·중등교육법」, 「고등교육법」 등 관계법령에 따라 설치된 각급 학교의 교육 AI 등 개발·활용 시 아동·학생의 개인정보 보호를 위한 지침을 마련하고 실증사업 대상 AI 시스템의 개인정보 보호 수준을 점검·감독한다.</t>
  </si>
  <si>
    <t xml:space="preserve">전략분야 12) 글로벌 AI이니셔티브 구현</t>
  </si>
  <si>
    <r>
      <rPr>
        <sz val="11"/>
        <color theme="1"/>
        <rFont val="맑은 고딕"/>
        <family val="2"/>
        <charset val="1"/>
      </rPr>
      <t xml:space="preserve">97 </t>
    </r>
    <r>
      <rPr>
        <sz val="11"/>
        <color theme="1"/>
        <rFont val="Noto Sans CJK SC"/>
        <family val="2"/>
      </rPr>
      <t xml:space="preserve">우리 </t>
    </r>
    <r>
      <rPr>
        <sz val="11"/>
        <color theme="1"/>
        <rFont val="맑은 고딕"/>
        <family val="2"/>
        <charset val="1"/>
      </rPr>
      <t xml:space="preserve">AI</t>
    </r>
    <r>
      <rPr>
        <sz val="11"/>
        <color theme="1"/>
        <rFont val="Noto Sans CJK SC"/>
        <family val="2"/>
      </rPr>
      <t xml:space="preserve">로 글로벌 사회에 기여하는 글로벌 </t>
    </r>
    <r>
      <rPr>
        <sz val="11"/>
        <color theme="1"/>
        <rFont val="맑은 고딕"/>
        <family val="2"/>
        <charset val="1"/>
      </rPr>
      <t xml:space="preserve">AI </t>
    </r>
    <r>
      <rPr>
        <sz val="11"/>
        <color theme="1"/>
        <rFont val="Noto Sans CJK SC"/>
        <family val="2"/>
      </rPr>
      <t xml:space="preserve">이니셔티브</t>
    </r>
  </si>
  <si>
    <t xml:space="preserve">97-1</t>
  </si>
  <si>
    <t xml:space="preserve">국가 AI 표준화 거버넌스 체계 및 전략 로드맵 수립</t>
  </si>
  <si>
    <t xml:space="preserve">글로벌 협력 분과</t>
  </si>
  <si>
    <t xml:space="preserve">국가AI전략위는 과기정통부, 산업부(국표원), 외교부 등과 함께 부처별로 흩어진 AI 표준화 체계를 통합하는 ‘국가 AI 표준화 거버넌스’ 체계를 ’26년 3분기까지 구축한다. 산업부(국표원)는 과기정통부 등과 함께 국가AI전략위와 협의를 거쳐 ‘국가 AI 표준화 거버넌스’ 체계에 기반해 AI 안전 및 데이터 등 핵심 분야의 글로벌 표준을 선도하기 위해 ‘국가 AI 표준화 전략 로드맵’을 ’26년 4분기까지 수립하고 주요국과의 표준·인증 공동 연구를 통해 국제적 상호통용성 확대를 추진한다.</t>
  </si>
  <si>
    <t xml:space="preserve">국가AI전략위, 산업부</t>
  </si>
  <si>
    <t xml:space="preserve">대외협력팀</t>
  </si>
  <si>
    <t xml:space="preserve">97-2</t>
  </si>
  <si>
    <t xml:space="preserve">주요 다자플랫폼 참여를 통해 글로벌 AI 거버넌스 의제 선도</t>
  </si>
  <si>
    <t xml:space="preserve">외교부는 과기정통부, 산업부, 행안부와 협조하여 UN, APEC, G7/G20, OECD, AI Summit, REAIM 등 주요 다자 회의 및 플랫폼에 적극 참여하여 대한민국 주도 AI 이니셔티브를 제안·발표하고 “글로벌 도전 과제 해결을 위한 국제협력”과 “글로벌 AI 기본사회 모범사례 확산” 등 AI 글로벌 거버넌스 의제를 선도한다. 외교부는 과기정통부, 산업부와 협조하여 국제 공급망, 통상, 신흥안보 이슈, ODA 등에 종합적으로 대응하기 위한 범부처 협의체를 ’26년 2분기까지 설치한다. 외교부, 과기정통부, 산업부는 글로벌 산업 AI·데이터 활용 생태계(버티컬 AI, 온디바이스 AI 등)와 연계하여 산업 특화형 글로벌 AI 리더십 전략을 ’26년 3분기까지 수립한다.</t>
  </si>
  <si>
    <t xml:space="preserve">과기정통부, 산업부, 행안부</t>
  </si>
  <si>
    <t xml:space="preserve">97-3</t>
  </si>
  <si>
    <t xml:space="preserve">글로벌 AX 상호운용성 확보 체계 수립 및 다자플랫폼 공동 대응 강화</t>
  </si>
  <si>
    <t xml:space="preserve">과기정통부와 산업부(및 국표원)는 주요 산업의 AI 전환(AX) 과정에서 데이터 및 서비스 간 연결성을 확보하고 ‘AI에이전트’와 ‘물리적 AI(피지컬AI)’를 포괄하는 AI-네이티브(AI-native) 환경으로 나아가기 위해 필요한 ‘글로벌 AX 상호운용성 확보 체계’를 ’26년 4분기까지 수립한다. 외교부는 과기정통부 등과 협력하여 글로벌 AI 생태계 동향을 고려하여 동맹‧파트너국과 AX 상호운용성 관련 논의를 추진하고, G7, OECD와 APEC 등 다자 플랫폼에서 공동 대응을 강화한다.</t>
  </si>
  <si>
    <r>
      <rPr>
        <sz val="11"/>
        <color theme="1"/>
        <rFont val="맑은 고딕"/>
        <family val="2"/>
        <charset val="1"/>
      </rPr>
      <t xml:space="preserve">98 </t>
    </r>
    <r>
      <rPr>
        <sz val="11"/>
        <color theme="1"/>
        <rFont val="Noto Sans CJK SC"/>
        <family val="2"/>
      </rPr>
      <t xml:space="preserve">전략적 글로벌 </t>
    </r>
    <r>
      <rPr>
        <sz val="11"/>
        <color theme="1"/>
        <rFont val="맑은 고딕"/>
        <family val="2"/>
        <charset val="1"/>
      </rPr>
      <t xml:space="preserve">AI </t>
    </r>
    <r>
      <rPr>
        <sz val="11"/>
        <color theme="1"/>
        <rFont val="Noto Sans CJK SC"/>
        <family val="2"/>
      </rPr>
      <t xml:space="preserve">협력체계 구축</t>
    </r>
  </si>
  <si>
    <t xml:space="preserve">98-1</t>
  </si>
  <si>
    <t xml:space="preserve">아태지역 AI 허브 특화지구 및 아태 AI 센터 조성</t>
  </si>
  <si>
    <t xml:space="preserve">과기정통부는 외교부, 산업부와 협력하여 아태지역 AI 인재와 스타트업 및 빅테크들과 APEC 지역의 지식·문화·언어 및 오픈소스를 통합한 오픈소스 소사이어티 구축을 위해 기존의 반도체 등 첨단산업 및 분산에너지 특화단지를 고려하여 비자·창업 공간지원부터 AI인프라·데이터 지원, 관련 규제 완화 등을 종합 지원하는 ‘아태지역 AI 허브 특화지구(가칭)’ 및 아시아-태평양 AI 센터 조성 계획을 ’26년 2분기까지 마련하고 국가AI전략위와 정기 협의체를 운영하여 이행을 관리한다.</t>
  </si>
  <si>
    <t xml:space="preserve">국가AI전략위, 산업부, 외교부</t>
  </si>
  <si>
    <t xml:space="preserve">98-2</t>
  </si>
  <si>
    <t xml:space="preserve">국내 AI 기업 글로벌 진출 지원 및 글로벌 AI 협업 등 AI 투자 방향 설정</t>
  </si>
  <si>
    <t xml:space="preserve">과기정통부는 기획예산처, 외교부, 산업부 등 관련 부처와 협력하여 국내 AI 스타트업 및 산업계의 AI 솔루션, 서비스에 대한 글로벌 진출을 지원하며 국가의 글로벌 AI 아젠다 확보, 빅테크를 포함한 글로벌 AI 협업관계 구축 등 AI 사업 투자 방향을 설정하고, 유관부처별 AI 사업에 대한 펀드‧기금 등 현황을 ’26년 2분기까지 파악한다. APEC AI 이니셔티브가 추구하는 공공·민간·지역 부문의 AI 기본역량과 활용도를 높여 서비스 품질과 행정 효율을 개선하고 산업 전반의 AI 혁신·디지털 전환을 촉진하며 회복력 있는 AI 인프라 투자 확대와 디지털 격차 해소를 위한 ‘글로벌 AI 공동투자’ 관련 조성 계획을 ’26년 4분기까지 마련한다. 이 펀드‧기금 등은 국가AI전략위의 전략 방향에 따라 과기정통부 주관으로 실행하며 국가AI전략위와 유관부처가 참여하는 ‘관리 협의체’를 통해 반기별로 운영 방향을 점검한다.</t>
  </si>
  <si>
    <t xml:space="preserve">국가AI전략위, 기획처, 산업부, 외교부</t>
  </si>
  <si>
    <t xml:space="preserve">98-3</t>
  </si>
  <si>
    <t xml:space="preserve">투트랙 기반 AI 분야 양·다자 협력 및 APEC AI 이니셔티브 실행</t>
  </si>
  <si>
    <t xml:space="preserve">외교부는 과기정통부, 산업부, 중기부와 협력하여 ‘투트랙’ 기반의 AI 분야 양·다자 협력체계와 APEC AI 이니셔티브 실행계획을 ’26년 4분기까지 추진하고 ’30년 4분기까지 정기적으로 이행 상황을 점검한다. (트랙1) 전략적 협력으로 미국, EU 등 가치공유국과는 AI 핵심 기술 공동 연구, 인력 교류를 넘어 공동 거점 구축, 공동 사업화 및 제3국 공동 진출까지 추진한다. (트랙2) 지속가능발전 협력으로 아세안 등 신흥국 및 글로벌 사우스 국가를 대상으로 인력교류, 공동세미나, 지역문제 해결형 AI 프로젝트(기후, 보건, 재난, 교육, 고령화 등)를 중심으로 추진하며 국가 역량별 차등화된 협력모델을 운영한다.</t>
  </si>
  <si>
    <t xml:space="preserve">과기정통부, 산업부, 중기부</t>
  </si>
  <si>
    <t xml:space="preserve">98-4</t>
  </si>
  <si>
    <r>
      <rPr>
        <sz val="11"/>
        <color theme="1"/>
        <rFont val="맑은 고딕"/>
        <family val="2"/>
        <charset val="1"/>
      </rPr>
      <t xml:space="preserve">K-AI </t>
    </r>
    <r>
      <rPr>
        <sz val="11"/>
        <color theme="1"/>
        <rFont val="Noto Sans CJK SC"/>
        <family val="2"/>
      </rPr>
      <t xml:space="preserve">기업의 글로벌 진출 전략 마련</t>
    </r>
  </si>
  <si>
    <t xml:space="preserve">산업부는 과기정통부, 외교부 및 산하기관(KOTRA)과 협력하여 APEC AI 이니셔티브 실행계획과 연계하여 K-AI 기업의 글로벌/APEC 진출과 시장 주도권 확보를 위한 체계적인 전략을 ’26년 4분기까지 수립한다. 이를 위해 ① 국제협력 프로젝트의 성과를 투명하게 공개하여 개방형 혁신 생태계를 조성하고, ② AI 분야에 특화된 차별화된 진출 전략으로 글로벌 비즈니스 모델 발굴을 지원한다. 나아가 주요 산업 이슈별로 국가들을 연계하는 비즈니스 거버넌스를 구축하여 디지털 인프라와 기술 역량이 상대적으로 취약한 신흥국 및 APEC 국가들과의 협력 및 영향력을 강화하고 글로벌 AI 시장의 주도권을 선점한다.</t>
  </si>
  <si>
    <t xml:space="preserve">98-5</t>
  </si>
  <si>
    <t xml:space="preserve">주요국 AI 거점 공관 지정 등 글로벌 AI 대응 종합체계 마련</t>
  </si>
  <si>
    <t xml:space="preserve">외교부는 과기정통부, 기획예산처, 재정경제부, 산업부, 행안부, 인사처와 협력하여 ’26년 2분기까지 주요국에 AI 거점 공관을 지정하고, 거점 공관별로 ‘GCAIO(글로벌 최고 AI 책임자)’와 AI 전문관을 운영한다. GCAIO는 산재된 글로벌 협력 채널을 하나로 묶을 수 있는 권한과 책임을 가져야 한다. 외교부는 과기정통부, 기획예산처, 산업부와 협력하여 GCAIO와 AI 거점 공관을 중심으로한 협의체를 정례화하고, 기존의 역내 우리 경제·산업·과기분야 정부 산하기관의 협력을 강화하여 글로벌 AI 지형 변화를 신속히 감지·분석·대응할 수 있는 종합체계인 ‘글로벌 AI 외교 플랫폼’을 ’26년 2분기까지 마련한다.</t>
  </si>
  <si>
    <t xml:space="preserve">과기정통부, 기획처, 재경부, 산업부, 인사처, 행안부</t>
  </si>
  <si>
    <r>
      <rPr>
        <sz val="11"/>
        <color theme="1"/>
        <rFont val="맑은 고딕"/>
        <family val="2"/>
        <charset val="1"/>
      </rPr>
      <t xml:space="preserve">99 </t>
    </r>
    <r>
      <rPr>
        <sz val="11"/>
        <color theme="1"/>
        <rFont val="Noto Sans CJK SC"/>
        <family val="2"/>
      </rPr>
      <t xml:space="preserve">선도형 글로벌 </t>
    </r>
    <r>
      <rPr>
        <sz val="11"/>
        <color theme="1"/>
        <rFont val="맑은 고딕"/>
        <family val="2"/>
        <charset val="1"/>
      </rPr>
      <t xml:space="preserve">AI </t>
    </r>
    <r>
      <rPr>
        <sz val="11"/>
        <color theme="1"/>
        <rFont val="Noto Sans CJK SC"/>
        <family val="2"/>
      </rPr>
      <t xml:space="preserve">안전 거버넌스 구축</t>
    </r>
  </si>
  <si>
    <t xml:space="preserve">99-1</t>
  </si>
  <si>
    <t xml:space="preserve">첨단 AI 안전성 확보를 위한 종합방안 마련</t>
  </si>
  <si>
    <t xml:space="preserve">과기정통부는 AI안전연구소와 함께 첨단 AI 안전성 확보를 위한 기술 개발과 전주기 상시 평가체계 마련 등 종합 방안을 ’26년 4분기까지 수립한다. AI안전연구소는 미국·영국·일본 등 주요국 AI 안전 연구기관들과 ‘국제 AI 안전 연구 공동 이니셔티브’를 추진하여 공동 연구와 인력 교류를 활성화하고, 이를 기반으로 ’26년 4분기까지 글로벌 규제와 상호운용 가능한 ‘AI 안전성 프레임워크’ 개발을 주도한다.</t>
  </si>
  <si>
    <t xml:space="preserve">99-2</t>
  </si>
  <si>
    <r>
      <rPr>
        <sz val="11"/>
        <color theme="1"/>
        <rFont val="맑은 고딕"/>
        <family val="2"/>
        <charset val="1"/>
      </rPr>
      <t xml:space="preserve">AI </t>
    </r>
    <r>
      <rPr>
        <sz val="11"/>
        <color theme="1"/>
        <rFont val="Noto Sans CJK SC"/>
        <family val="2"/>
      </rPr>
      <t xml:space="preserve">안전 글로벌 규범 형성 주도</t>
    </r>
  </si>
  <si>
    <t xml:space="preserve">외교부는 유사 입장국과의 AI 안전 거버넌스 논의를 추진하고, 이를 기반으로 OECD, G7, Global Partnership on AI(GPAI) 등 국제 협력체와 연계하여 ’26년 4분기까지 AI 안전 글로벌 규범 형성을 주도한다.</t>
  </si>
  <si>
    <t xml:space="preserve">전략분야 2) 차세대 AI기술 선점</t>
  </si>
  <si>
    <r>
      <rPr>
        <sz val="11"/>
        <color theme="1"/>
        <rFont val="맑은 고딕"/>
        <family val="2"/>
        <charset val="1"/>
      </rPr>
      <t xml:space="preserve">12 </t>
    </r>
    <r>
      <rPr>
        <sz val="11"/>
        <color theme="1"/>
        <rFont val="Noto Sans CJK SC"/>
        <family val="2"/>
      </rPr>
      <t xml:space="preserve">피지컬</t>
    </r>
    <r>
      <rPr>
        <sz val="11"/>
        <color theme="1"/>
        <rFont val="맑은 고딕"/>
        <family val="2"/>
        <charset val="1"/>
      </rPr>
      <t xml:space="preserve">AI, </t>
    </r>
    <r>
      <rPr>
        <sz val="11"/>
        <color theme="1"/>
        <rFont val="Noto Sans CJK SC"/>
        <family val="2"/>
      </rPr>
      <t xml:space="preserve">휴머노이드</t>
    </r>
    <r>
      <rPr>
        <sz val="11"/>
        <color theme="1"/>
        <rFont val="맑은 고딕"/>
        <family val="2"/>
        <charset val="1"/>
      </rPr>
      <t xml:space="preserve">, AI </t>
    </r>
    <r>
      <rPr>
        <sz val="11"/>
        <color theme="1"/>
        <rFont val="Noto Sans CJK SC"/>
        <family val="2"/>
      </rPr>
      <t xml:space="preserve">반도체 분야 차세대 기술 확보･적용</t>
    </r>
  </si>
  <si>
    <t xml:space="preserve">12-1</t>
  </si>
  <si>
    <t xml:space="preserve">피지컬AI 1위 달성을 위한 산업 생태계 조성·확산</t>
  </si>
  <si>
    <t xml:space="preserve">과기정통부는 산업부와 협력하여 피지컬AI 1위 달성(~’30년)을 위한 월드모델, 로봇 파운데이션 모델, 고성능 AI반도체 기반의 HW 플랫폼 등 핵심기술을 확보하고, 실제 환경에서의 다양한 데이터를 기반으로 각 분야에 피지컬AI 확산을 지원하는 종합 계획을 ’26년 1분기까지 수립하고, 관계 부처는 이에 협조한다. 산업부는 과기정통부와 협력하여 휴머노이드 로봇 3강 달성(~‘28년)을 위한 산업 생태계 조성･확산 계획을 ’26년 1분기까지 수립하고, 관계 부처는 이에 협조한다.</t>
  </si>
  <si>
    <t xml:space="preserve">12-2</t>
  </si>
  <si>
    <t xml:space="preserve">글로벌 시스템반도체 점유율 확대</t>
  </si>
  <si>
    <t xml:space="preserve">산업부는 현재 약 3% 수준인 글로벌 시스템반도체 점유율을 ’30년까지 10% 이상으로 확대하기 위해 팹리스 기업 및 관련 생태계의 근본적인 산업 경쟁력 강화, AI를 중심으로 한 대규모 산업 적용, 글로벌 시장 진출 등을 포함한 종합 계획을 ’26년 1분기까지 수립한다.</t>
  </si>
  <si>
    <r>
      <rPr>
        <sz val="11"/>
        <color theme="1"/>
        <rFont val="맑은 고딕"/>
        <family val="2"/>
        <charset val="1"/>
      </rPr>
      <t xml:space="preserve">13 (</t>
    </r>
    <r>
      <rPr>
        <sz val="11"/>
        <color theme="1"/>
        <rFont val="Noto Sans CJK SC"/>
        <family val="2"/>
      </rPr>
      <t xml:space="preserve">가칭</t>
    </r>
    <r>
      <rPr>
        <sz val="11"/>
        <color theme="1"/>
        <rFont val="맑은 고딕"/>
        <family val="2"/>
        <charset val="1"/>
      </rPr>
      <t xml:space="preserve">)</t>
    </r>
    <r>
      <rPr>
        <sz val="11"/>
        <color theme="1"/>
        <rFont val="Noto Sans CJK SC"/>
        <family val="2"/>
      </rPr>
      <t xml:space="preserve">국가 초지능 연구소 설립</t>
    </r>
  </si>
  <si>
    <t xml:space="preserve">13-1</t>
  </si>
  <si>
    <t xml:space="preserve">국가 초지능 연구소 설립</t>
  </si>
  <si>
    <t xml:space="preserve">과기정통부는 기획예산처와 협의하여 ’30년 AI 기술 3강 달성을 위해 최고급 연구 인력 지원, 재원 투입, 독립성 보장 및 관련 법령 제･개정 등을 포함하여 AGI 등 글로벌 AI기술 패권의 판도를 뒤바꾸며 첨단 AI기술 개발을 전담할 ‘국가 초지능 연구소(가칭)’ 설립 계획을 ’26년 2분기까지 수립하고, 이를 바탕으로 연구소를 ’26년 4분기까지 설립한다.</t>
  </si>
  <si>
    <r>
      <rPr>
        <sz val="11"/>
        <color theme="1"/>
        <rFont val="맑은 고딕"/>
        <family val="2"/>
        <charset val="1"/>
      </rPr>
      <t xml:space="preserve">14 </t>
    </r>
    <r>
      <rPr>
        <sz val="11"/>
        <color theme="1"/>
        <rFont val="Noto Sans CJK SC"/>
        <family val="2"/>
      </rPr>
      <t xml:space="preserve">기초과학 및 전략 과학기술 분야 </t>
    </r>
    <r>
      <rPr>
        <sz val="11"/>
        <color theme="1"/>
        <rFont val="맑은 고딕"/>
        <family val="2"/>
        <charset val="1"/>
      </rPr>
      <t xml:space="preserve">AI </t>
    </r>
    <r>
      <rPr>
        <sz val="11"/>
        <color theme="1"/>
        <rFont val="Noto Sans CJK SC"/>
        <family val="2"/>
      </rPr>
      <t xml:space="preserve">혁신</t>
    </r>
    <r>
      <rPr>
        <sz val="11"/>
        <color theme="1"/>
        <rFont val="맑은 고딕"/>
        <family val="2"/>
        <charset val="1"/>
      </rPr>
      <t xml:space="preserve">, AI </t>
    </r>
    <r>
      <rPr>
        <sz val="11"/>
        <color theme="1"/>
        <rFont val="Noto Sans CJK SC"/>
        <family val="2"/>
      </rPr>
      <t xml:space="preserve">연구동료 개발</t>
    </r>
  </si>
  <si>
    <t xml:space="preserve">14-1</t>
  </si>
  <si>
    <t xml:space="preserve">기초과학 분야 AI 융합 종합 지원</t>
  </si>
  <si>
    <t xml:space="preserve">과기정통부는 인류 지식의 지평을 확장하고 장기적 혁신의 기반을 마련하는 기초과학 분야의 AI 혁신을 촉진하는 종합 지원체계를 구축한다. 이를 통해 기초과학 연구자들이 자율적으로 제안하는 혁신적 AI-기초과학 융합 연구 프로그램을 적극 지원하며, 기초과학적 접근을 통해 AI 자체의 혁신을 이끌 수 있는 선도 연구를 육성한다. 이를 위해 기초과학 분야의 AI 융합 지원 종합 전략을 ’26년 1분기까지 수립하고 기초과학 연구자 주도의 AI-기초과학 융합연구 지원 프로그램을 ’26년 4분기까지 시범운영하며 ’27년 1분기부터 본격적으로 추진한다.</t>
  </si>
  <si>
    <t xml:space="preserve">14-2</t>
  </si>
  <si>
    <t xml:space="preserve">수학 AI 연구개발 지원</t>
  </si>
  <si>
    <t xml:space="preserve">과기정통부는 과학기술 전반의 혁신을 견인할 수 있는 수학 AI 개발을 적극 지원한다. 이를 위해 수학 AI 연구 지원 계획을 ’26년 1분기까지 수립하고, 이를 바탕으로 지원 프로그램을 ’26년 4분기까지 시범운영하며 ’27년 1분기부터 본격적으로 추진한다.</t>
  </si>
  <si>
    <t xml:space="preserve">14-3</t>
  </si>
  <si>
    <r>
      <rPr>
        <sz val="11"/>
        <color theme="1"/>
        <rFont val="맑은 고딕"/>
        <family val="2"/>
        <charset val="1"/>
      </rPr>
      <t xml:space="preserve">AI </t>
    </r>
    <r>
      <rPr>
        <sz val="11"/>
        <color theme="1"/>
        <rFont val="Noto Sans CJK SC"/>
        <family val="2"/>
      </rPr>
      <t xml:space="preserve">융합형 과학기술 연구자 육성</t>
    </r>
  </si>
  <si>
    <t xml:space="preserve">과기정통부는 과학기술 분야에서 도메인 전문 지식과 AI 전문 지식을 균형 있게 갖춘 융합형 연구자를 육성하기 위한 정책을 ’26년 1분기까지 마련하고, 이후 단계적으로 추진한다.</t>
  </si>
  <si>
    <t xml:space="preserve">14-4</t>
  </si>
  <si>
    <t xml:space="preserve">국가 과학기술관리 AI 플랫폼 구축</t>
  </si>
  <si>
    <t xml:space="preserve">과기정통부는 AI를 과학기술 연구·개발·산업 혁신 全과정에 내재화하기 위한 ‘국가 과학기술관리 AI 플랫폼’을 ’27년 1분기까지 구축한다.</t>
  </si>
  <si>
    <t xml:space="preserve">14-5</t>
  </si>
  <si>
    <t xml:space="preserve">유연한 R&amp;D 사업 추진체계 구축</t>
  </si>
  <si>
    <t xml:space="preserve">과기정통부는 AI 도구의 발전 속도와 AI 연구동료, 과학 AI 도구, 과학 데이터 생산 기술의 급격한 발전 및 새로운 기술의 지속적인 대두가 예상되는 환경 속에서, 국가 R&amp;D 혁신을 위해 글로벌 환경 변화에 신속하게 대응할 수 있도록, 연구 과제 수행 중에 초기 계획을 조정할 수 있도록 하고, 이에 따라 변경된 방향성과 성과를 반영할 수 있는 유연한 사업 추진체계를 ’26년 1분기까지 구축한다.</t>
  </si>
  <si>
    <t xml:space="preserve">14-6</t>
  </si>
  <si>
    <r>
      <rPr>
        <sz val="11"/>
        <color theme="1"/>
        <rFont val="맑은 고딕"/>
        <family val="2"/>
        <charset val="1"/>
      </rPr>
      <t xml:space="preserve">AI </t>
    </r>
    <r>
      <rPr>
        <sz val="11"/>
        <color theme="1"/>
        <rFont val="Noto Sans CJK SC"/>
        <family val="2"/>
      </rPr>
      <t xml:space="preserve">연구동료 개발 로드맵 수립</t>
    </r>
  </si>
  <si>
    <t xml:space="preserve">과기정통부는 과학 기술자가 AI와 협력하여 창의적·효율적으로 연구할 수 있도록 거대 언어모델 기반 AI 연구 동료를 개발한다. 이를 위해 실험데이터, 문헌, 전문가 추론데이터, 연구 피드백 등 고품질 학습자원을 포함한 AI 데이터 생태계를 구축하고, 연구자-AI 상호작용을 지원하는 연구 플랫폼과 민주적으로 활용가능한 연구 인프라를 마련한다. 관련 로드맵은 ’26년 1분기까지 수립한다.</t>
  </si>
  <si>
    <t xml:space="preserve">14-7</t>
  </si>
  <si>
    <r>
      <rPr>
        <sz val="11"/>
        <color theme="1"/>
        <rFont val="맑은 고딕"/>
        <family val="2"/>
        <charset val="1"/>
      </rPr>
      <t xml:space="preserve">AI </t>
    </r>
    <r>
      <rPr>
        <sz val="11"/>
        <color theme="1"/>
        <rFont val="Noto Sans CJK SC"/>
        <family val="2"/>
      </rPr>
      <t xml:space="preserve">연구동료 프레임워크 고도화</t>
    </r>
  </si>
  <si>
    <t xml:space="preserve">과기정통부는 AI 연구 동료 개발 과정에 분야별 과학기술 전문가가 문제 정의, 해결 과정, 결과 평가 등에 참여하도록 하여, 과학 기술자-AI 연구 동료 간 지속적 상호작용 기반의 발전을 추진한다. 이를 위해 ’26년 1분기부터 개발을 시작하고, ’26년 2분기부터 테스트와 개발 범위를 단계적으로 확대하며 전문 연구자의 지속적인 피드백과 협업 결과를 반영해 AI 연구 동료 프레임워크를 고도화한다.</t>
  </si>
  <si>
    <t xml:space="preserve">14-8</t>
  </si>
  <si>
    <t xml:space="preserve">연구자 경험 및 지식 데이터 구축</t>
  </si>
  <si>
    <t xml:space="preserve">과기정통부는 과학기술 분야에서 활동해온 은퇴 연구자를 포함한 전·현직 연구자들의 연구 경험과 노하우를 체계적으로 수집·구조화하여, AI 연구 동료 및 과학AI 생태계에 활용할 수 있는 지식 데이터로 구축한다. 이를 통해 세대 간 과학 지식의 단절을 방지하고, 논문에 드러나지 않는 연구자의 전문적 판단 체계와 연구 과정에서 축적된 직관과 통찰, 문제를 인식하고 해결하는 사고 구조까지 AI가 학습할 수 있는 기반을 마련한다. 관련 추진 로드맵은 ’26년 1분기까지 수립한다.</t>
  </si>
  <si>
    <t xml:space="preserve">전략분야 3) AI핵심인재 확보</t>
  </si>
  <si>
    <r>
      <rPr>
        <sz val="11"/>
        <color theme="1"/>
        <rFont val="맑은 고딕"/>
        <family val="2"/>
        <charset val="1"/>
      </rPr>
      <t xml:space="preserve">15 AI</t>
    </r>
    <r>
      <rPr>
        <sz val="11"/>
        <color theme="1"/>
        <rFont val="Noto Sans CJK SC"/>
        <family val="2"/>
      </rPr>
      <t xml:space="preserve">시대 국가교육 체계 혁신을 위한 실행계획 수립</t>
    </r>
  </si>
  <si>
    <t xml:space="preserve">15-1</t>
  </si>
  <si>
    <r>
      <rPr>
        <sz val="11"/>
        <color theme="1"/>
        <rFont val="맑은 고딕"/>
        <family val="2"/>
        <charset val="1"/>
      </rPr>
      <t xml:space="preserve">AI</t>
    </r>
    <r>
      <rPr>
        <sz val="11"/>
        <color theme="1"/>
        <rFont val="Noto Sans CJK SC"/>
        <family val="2"/>
      </rPr>
      <t xml:space="preserve">시대 국가교육 체계 혁신방안 논의</t>
    </r>
  </si>
  <si>
    <t xml:space="preserve">국교위는 유아에서 고등교육까지 AI시대에 부합하는 국가교육 체계 혁신을 위해 교육부, 과기정통부 등 관계기관과 적극 협업한다. 국교위는 국가교육 체계 혁신방안 논의 기구를 ’26년 1분기까지 구성하고, 추상적 논의를 넘어 실질적 변화를 이끌어낼 수 있는 방안을 도출한다. 이 논의의 결과가 선언적 수준에 머무르지 않고 명확한 일정과 실행 로드맵을 바탕으로 가시적 성과를 창출하기 위하여 ’27년 1분기 수립 예정인 ‘국가교육발전계획'에 AI기술과 사회 변화를 선도할 수 있는 국가교육 체계 혁신 방안을 반영한다. 이에 따라 매 1년마다 관계기관이 국가교육체계 혁신을 위한 구체적 실행계획을 마련하고, 법·제도 개선을 포함한 시행 과제를 순차적으로 추진하도록 조치한다.</t>
  </si>
  <si>
    <t xml:space="preserve">과기정통부, 교육부</t>
  </si>
  <si>
    <r>
      <rPr>
        <sz val="11"/>
        <color theme="1"/>
        <rFont val="맑은 고딕"/>
        <family val="2"/>
        <charset val="1"/>
      </rPr>
      <t xml:space="preserve">16 </t>
    </r>
    <r>
      <rPr>
        <sz val="11"/>
        <color theme="1"/>
        <rFont val="Noto Sans CJK SC"/>
        <family val="2"/>
      </rPr>
      <t xml:space="preserve">초중등 국가 교육과정 및 교과서 체제 재구조화</t>
    </r>
  </si>
  <si>
    <t xml:space="preserve">16-1</t>
  </si>
  <si>
    <r>
      <rPr>
        <sz val="11"/>
        <color theme="1"/>
        <rFont val="맑은 고딕"/>
        <family val="2"/>
        <charset val="1"/>
      </rPr>
      <t xml:space="preserve">AI</t>
    </r>
    <r>
      <rPr>
        <sz val="11"/>
        <color theme="1"/>
        <rFont val="Noto Sans CJK SC"/>
        <family val="2"/>
      </rPr>
      <t xml:space="preserve">시대 교육과정 정책 방향 모색</t>
    </r>
  </si>
  <si>
    <t xml:space="preserve">국교위는 AI 및 융합교육 반영을 위한 교육과정 구성 방향에 대한 정책연구를 ’26년 1분기부터 추진하고, 이를 바탕으로 학교급 및 유형별 AI 교육과정 방향 등 보다 유연한 교육과정 운영 방향을 모색한다.</t>
  </si>
  <si>
    <t xml:space="preserve">16-2</t>
  </si>
  <si>
    <r>
      <rPr>
        <sz val="11"/>
        <color theme="1"/>
        <rFont val="맑은 고딕"/>
        <family val="2"/>
        <charset val="1"/>
      </rPr>
      <t xml:space="preserve">AI</t>
    </r>
    <r>
      <rPr>
        <sz val="11"/>
        <color theme="1"/>
        <rFont val="Noto Sans CJK SC"/>
        <family val="2"/>
      </rPr>
      <t xml:space="preserve">시대 교육과정 유연화 및 개방화 방향 설정</t>
    </r>
  </si>
  <si>
    <t xml:space="preserve">국교위는 교육과정의 유연화 및 개방화 정책 방향을 설정하기 위해, '26년 1분기까지 기술 변화 속도에 맞춰 교과별 개편 주기를 달리하는 ‘다중화된 개편 체계'와 학교 자율성을 극대화하는 ‘개방적 모듈형 교육과정 구조'의 도입을 논의하고, 이를 위한 유연한 교육과정 운영 방향에 대한 정책연구를 심화하여 착수한다.</t>
  </si>
  <si>
    <t xml:space="preserve">16-3</t>
  </si>
  <si>
    <t xml:space="preserve">학교 현장 중심 모듈형 교육과정 및 교과 융합모델 시범 운영</t>
  </si>
  <si>
    <t xml:space="preserve">교육부는 국교위의 교육과정 개편 및 구조 연구 결과를 토대로, 학교 현장 중심의 모듈형 교육과정 시범운영과 교사 연수프로그램을 병행해, 다양한 교과 융합모델을 실험하고 피드백을 ’27년 1분기에 제공한다.</t>
  </si>
  <si>
    <t xml:space="preserve">16-4</t>
  </si>
  <si>
    <r>
      <rPr>
        <sz val="11"/>
        <color theme="1"/>
        <rFont val="맑은 고딕"/>
        <family val="2"/>
        <charset val="1"/>
      </rPr>
      <t xml:space="preserve">AI</t>
    </r>
    <r>
      <rPr>
        <sz val="11"/>
        <color theme="1"/>
        <rFont val="Noto Sans CJK SC"/>
        <family val="2"/>
      </rPr>
      <t xml:space="preserve">시대 교과서 체제 개선</t>
    </r>
  </si>
  <si>
    <t xml:space="preserve">교육부는 검·인정 교과서 체제 개선에 대한 민관 협의체를 구성하여 ’26년 2분기까지 의견을 수렴하고, 향후 ‘(가칭)개방적 모듈형 교육과정’ 개발 및 도입 시기에 맞춰 개방형 교과서 체계 전환 방안을 수립한다.</t>
  </si>
  <si>
    <t xml:space="preserve">16-5</t>
  </si>
  <si>
    <r>
      <rPr>
        <sz val="11"/>
        <color theme="1"/>
        <rFont val="맑은 고딕"/>
        <family val="2"/>
        <charset val="1"/>
      </rPr>
      <t xml:space="preserve">AI </t>
    </r>
    <r>
      <rPr>
        <sz val="11"/>
        <color theme="1"/>
        <rFont val="Noto Sans CJK SC"/>
        <family val="2"/>
      </rPr>
      <t xml:space="preserve">교수학습플랫폼 구축</t>
    </r>
  </si>
  <si>
    <t xml:space="preserve">교육부는 국가가 주도하고 시도교육청이 협력하는 AI 교수학습플랫폼 구축을 위한 정보화전략계획(ISP)을 ’26년 3분기까지 수립하고, 이에 따라 시스템을 구축한다.</t>
  </si>
  <si>
    <r>
      <rPr>
        <sz val="11"/>
        <color theme="1"/>
        <rFont val="맑은 고딕"/>
        <family val="2"/>
        <charset val="1"/>
      </rPr>
      <t xml:space="preserve">17 </t>
    </r>
    <r>
      <rPr>
        <sz val="11"/>
        <color theme="1"/>
        <rFont val="Noto Sans CJK SC"/>
        <family val="2"/>
      </rPr>
      <t xml:space="preserve">초중고 전학년에서 연속적인 디지털</t>
    </r>
    <r>
      <rPr>
        <sz val="11"/>
        <color theme="1"/>
        <rFont val="맑은 고딕"/>
        <family val="2"/>
        <charset val="1"/>
      </rPr>
      <t xml:space="preserve">·AI </t>
    </r>
    <r>
      <rPr>
        <sz val="11"/>
        <color theme="1"/>
        <rFont val="Noto Sans CJK SC"/>
        <family val="2"/>
      </rPr>
      <t xml:space="preserve">교육 필수 이수</t>
    </r>
  </si>
  <si>
    <t xml:space="preserve">17-1</t>
  </si>
  <si>
    <t xml:space="preserve">초중고 AI·디지털 교육 내실화 및 개선</t>
  </si>
  <si>
    <t xml:space="preserve">국교위는 디지털·AI 교육 내실화 및 개선 방안에 대한 정책연구를 ’26년 1분기부터 하고, 이후 교육부의 시범학교 결과를 바탕으로 초중고 모든 학년에서 체계적이고 일관된 AI 교육을 위한 단계별 필수 이수 교육과정을 ’27년 1분기부터 검토한다.</t>
  </si>
  <si>
    <t xml:space="preserve">17-2</t>
  </si>
  <si>
    <t xml:space="preserve">학년별 AI·디지털 교육 확대</t>
  </si>
  <si>
    <t xml:space="preserve">교육부는 국교위와 협력하여 학년별 디지털·AI 교육 확대에 대한 기초 연구를 ’26년 2분기까지 완료하고, ‘(가칭)AI교육운영지침’ 등을 활용하여 매 학년 연속적인 교육실시를 목표로 하는 단계별 필수 교육 운영모델 시범학교를 ’27년 1분기부터 지정하여 검증한다. 아울러, 초등학교부터 전 과정에 걸쳐 AI윤리교육 내용을 포함하여 AI 교육에 대한 원칙을 마련한다.</t>
  </si>
  <si>
    <t xml:space="preserve">17-3</t>
  </si>
  <si>
    <t xml:space="preserve">교원 연수 및 교육과정 운영 준비</t>
  </si>
  <si>
    <t xml:space="preserve">교육부와 시도교육청은 교원 연수 및 교육과정 운영 준비를 ’26년 1분기부터 실시하고, 시범학교 중심으로 운영 결과를 분석해 ’27년 1분기에 국교위 등 관계기관에 피드백을 제공한다.</t>
  </si>
  <si>
    <t xml:space="preserve">17-4</t>
  </si>
  <si>
    <r>
      <rPr>
        <sz val="11"/>
        <color theme="1"/>
        <rFont val="맑은 고딕"/>
        <family val="2"/>
        <charset val="1"/>
      </rPr>
      <t xml:space="preserve">AI </t>
    </r>
    <r>
      <rPr>
        <sz val="11"/>
        <color theme="1"/>
        <rFont val="Noto Sans CJK SC"/>
        <family val="2"/>
      </rPr>
      <t xml:space="preserve">교육 관련 법령 정비</t>
    </r>
  </si>
  <si>
    <t xml:space="preserve">교육부는 현행 초·중·고 교육 관련 법령이 변화된 교육 환경과 정책적 요구를 충분히 반영하고 있는지 ’26년 2분기 내로 종합 검토하고, 그 결과를 바탕으로 ’26년 3분기부터 필요한 법령 정비를 추진한다. 이를 위해 AI 교육 및 정보교육에 대한 국가의 책무와 기본방향이 보다 명확히 드러나도록 「교육기본법」상 관련 규정의 보완 필요성을 검토하고, 디지털·AI 교육 강화 기조가 「초·중등교육법 시행령」의 교과 편제 등에 정합성 있게 반영될 수 있도록 관련 조항의 정비 필요성을 검토하며, 「과학·수학·정보 교육 진흥법」의 기본 방향 규정에 인공지능 교육 요소를 포함하는 방안과 AI 교육을 포함한 정보교육의 최소 교육환경·인프라 기준을 제도적으로 명확화하는 방안을 함께 검토한다.</t>
  </si>
  <si>
    <t xml:space="preserve">17-5</t>
  </si>
  <si>
    <t xml:space="preserve">모든 청소년 AI 교육 지원</t>
  </si>
  <si>
    <t xml:space="preserve">교육부는 성평등부 등 관계부처와 협력하여 ’26년 1분기부터 AI 기본사회의 포용적 가치 실현을 위해 장애 학생 및 학교 밖 청소년을 포함한 모든 청소년이 소외됨 없이 양질의 AI 교육을 이수할 수 있도록 지원 체계를 마련한다.</t>
  </si>
  <si>
    <r>
      <rPr>
        <sz val="11"/>
        <color theme="1"/>
        <rFont val="맑은 고딕"/>
        <family val="2"/>
        <charset val="1"/>
      </rPr>
      <t xml:space="preserve">18 </t>
    </r>
    <r>
      <rPr>
        <sz val="11"/>
        <color theme="1"/>
        <rFont val="Noto Sans CJK SC"/>
        <family val="2"/>
      </rPr>
      <t xml:space="preserve">초중등 </t>
    </r>
    <r>
      <rPr>
        <sz val="11"/>
        <color theme="1"/>
        <rFont val="맑은 고딕"/>
        <family val="2"/>
        <charset val="1"/>
      </rPr>
      <t xml:space="preserve">AI </t>
    </r>
    <r>
      <rPr>
        <sz val="11"/>
        <color theme="1"/>
        <rFont val="Noto Sans CJK SC"/>
        <family val="2"/>
      </rPr>
      <t xml:space="preserve">실습 교육 플랫폼 구축</t>
    </r>
  </si>
  <si>
    <t xml:space="preserve">18-1</t>
  </si>
  <si>
    <r>
      <rPr>
        <sz val="11"/>
        <color theme="1"/>
        <rFont val="맑은 고딕"/>
        <family val="2"/>
        <charset val="1"/>
      </rPr>
      <t xml:space="preserve">AI </t>
    </r>
    <r>
      <rPr>
        <sz val="11"/>
        <color theme="1"/>
        <rFont val="Noto Sans CJK SC"/>
        <family val="2"/>
      </rPr>
      <t xml:space="preserve">실습 교육 플랫폼 구축</t>
    </r>
  </si>
  <si>
    <t xml:space="preserve">과기정통부는 플랫폼 구축의 주관부처로서, 예산 확보 및 사업계획을 ’26년 4분기까지 확정하고, 기술 설계와 데이터 인프라·시뮬레이션 환경을 ’27년 2분기까지 구축하며, ’27년 3분기에는 교육부와 공동으로 시범학교 중심의 프로토타입 운영을 시작하고 실습 플랫품 운영 및 성과관리 체계를 구축한다. 행안부는 플랫폼 구축과 운영이 차질 없이 진행되도록 공공데이터의 연계와 개방을 지원한다.</t>
  </si>
  <si>
    <t xml:space="preserve">교육부, 행안부</t>
  </si>
  <si>
    <t xml:space="preserve">18-2</t>
  </si>
  <si>
    <t xml:space="preserve">학교 현장 중심 AI 교육 운영모델 설계</t>
  </si>
  <si>
    <t xml:space="preserve">교육부는 학교 현장 중심의 운영 주체로서 실습 환경 활용을 위한 교과 연계 수요조사와 교원 의견 수렴을 ’26년 1분기부터 실시하고, 실습 기반의 학교별 AI 교육 운영 모델을 ’26년 4분기까지 설계한다.</t>
  </si>
  <si>
    <t xml:space="preserve">18-3</t>
  </si>
  <si>
    <r>
      <rPr>
        <sz val="11"/>
        <color theme="1"/>
        <rFont val="맑은 고딕"/>
        <family val="2"/>
        <charset val="1"/>
      </rPr>
      <t xml:space="preserve">AI </t>
    </r>
    <r>
      <rPr>
        <sz val="11"/>
        <color theme="1"/>
        <rFont val="Noto Sans CJK SC"/>
        <family val="2"/>
      </rPr>
      <t xml:space="preserve">실습 교육 플랫폼 활용 및 교육정책 연계</t>
    </r>
  </si>
  <si>
    <t xml:space="preserve">국교위는 ’26년부터 AI 실습 교육 플랫폼 등 다양한 학습 도구가 활용될 수 있도록 검토하고, ’27년 3분기부터 시작하는 과기정통부와 교육부의 시범운영 결과 등을 종합하여 교육정책 연계 방안을 마련한다.</t>
  </si>
  <si>
    <r>
      <rPr>
        <sz val="11"/>
        <color theme="1"/>
        <rFont val="맑은 고딕"/>
        <family val="2"/>
        <charset val="1"/>
      </rPr>
      <t xml:space="preserve">19 </t>
    </r>
    <r>
      <rPr>
        <sz val="11"/>
        <color theme="1"/>
        <rFont val="Noto Sans CJK SC"/>
        <family val="2"/>
      </rPr>
      <t xml:space="preserve">평가 제도 및 입시 제도 혁신</t>
    </r>
  </si>
  <si>
    <t xml:space="preserve">19-1</t>
  </si>
  <si>
    <r>
      <rPr>
        <sz val="11"/>
        <color theme="1"/>
        <rFont val="맑은 고딕"/>
        <family val="2"/>
        <charset val="1"/>
      </rPr>
      <t xml:space="preserve">AI</t>
    </r>
    <r>
      <rPr>
        <sz val="11"/>
        <color theme="1"/>
        <rFont val="Noto Sans CJK SC"/>
        <family val="2"/>
      </rPr>
      <t xml:space="preserve">시대 수능</t>
    </r>
    <r>
      <rPr>
        <sz val="11"/>
        <color theme="1"/>
        <rFont val="맑은 고딕"/>
        <family val="2"/>
        <charset val="1"/>
      </rPr>
      <t xml:space="preserve">·</t>
    </r>
    <r>
      <rPr>
        <sz val="11"/>
        <color theme="1"/>
        <rFont val="Noto Sans CJK SC"/>
        <family val="2"/>
      </rPr>
      <t xml:space="preserve">대학입시 개편 방향 논의</t>
    </r>
  </si>
  <si>
    <t xml:space="preserve">국교위는 수능 및 대학입시 제도의 개편 방향을 ’26년 3분기까지 논의하고, 창의·융합 역량 중심의 평가 체계 관련 논의에 ’26년 4분기까지 착수하며, 관계 부처와 협의해 대입 전형 연계 방안을 ’27년 4분기에 심의·의결한다.</t>
  </si>
  <si>
    <t xml:space="preserve">19-2</t>
  </si>
  <si>
    <r>
      <rPr>
        <sz val="11"/>
        <color theme="1"/>
        <rFont val="맑은 고딕"/>
        <family val="2"/>
        <charset val="1"/>
      </rPr>
      <t xml:space="preserve">AI </t>
    </r>
    <r>
      <rPr>
        <sz val="11"/>
        <color theme="1"/>
        <rFont val="Noto Sans CJK SC"/>
        <family val="2"/>
      </rPr>
      <t xml:space="preserve">기반 서</t>
    </r>
    <r>
      <rPr>
        <sz val="11"/>
        <color theme="1"/>
        <rFont val="맑은 고딕"/>
        <family val="2"/>
        <charset val="1"/>
      </rPr>
      <t xml:space="preserve">·</t>
    </r>
    <r>
      <rPr>
        <sz val="11"/>
        <color theme="1"/>
        <rFont val="Noto Sans CJK SC"/>
        <family val="2"/>
      </rPr>
      <t xml:space="preserve">논술형 평가 활성화 지원</t>
    </r>
  </si>
  <si>
    <t xml:space="preserve">교육부는 미래형 학습·평가 체제 구축을 위해 시도교육청의 서·논술형 평가 활성화를 지원한다. 이를 위해 ’26년 1분기부터 서·논술형 평가 AI 학습용 데이터를 구축하여 교육청 단위의 AI 채점 지원 시스템 구축을 지원하고, 서·논술형 평가 선도교육청을 운영하여 서·논술형 평가 운영 우수 모델을 발굴‧확산한다. </t>
  </si>
  <si>
    <r>
      <rPr>
        <sz val="11"/>
        <color theme="1"/>
        <rFont val="맑은 고딕"/>
        <family val="2"/>
        <charset val="1"/>
      </rPr>
      <t xml:space="preserve">20 AI</t>
    </r>
    <r>
      <rPr>
        <sz val="11"/>
        <color theme="1"/>
        <rFont val="Noto Sans CJK SC"/>
        <family val="2"/>
      </rPr>
      <t xml:space="preserve">시대 교사 양성 및 연수체계 혁신</t>
    </r>
  </si>
  <si>
    <t xml:space="preserve">20-1</t>
  </si>
  <si>
    <t xml:space="preserve">교원양성기관의 AI 교육과정 강화 지원</t>
  </si>
  <si>
    <t xml:space="preserve">교육부는 교원양성기관의 AI 교육과정 강화 지원방안을 ’27년 2분기까지 마련하고, 7주기 교원양성기관 역량진단 평가지표의 진단요소에 AI 역량을 반영한다.</t>
  </si>
  <si>
    <t xml:space="preserve">20-2</t>
  </si>
  <si>
    <r>
      <rPr>
        <sz val="11"/>
        <color theme="1"/>
        <rFont val="맑은 고딕"/>
        <family val="2"/>
        <charset val="1"/>
      </rPr>
      <t xml:space="preserve">AI·</t>
    </r>
    <r>
      <rPr>
        <sz val="11"/>
        <color theme="1"/>
        <rFont val="Noto Sans CJK SC"/>
        <family val="2"/>
      </rPr>
      <t xml:space="preserve">디지털 역량 체계 기반 교원 연수 확대</t>
    </r>
  </si>
  <si>
    <t xml:space="preserve">교육부는 2026년 3분기부터 AI·디지털 역량 체계 기반의 교원 연수를 확대하고, AI 윤리교육을 포함한 AI 기반 융합(STEAM) 교육 연수 및 AI 융합 직업변화에 대응한 진로지도 연수, 관리자 리더십 연수과정을 개설한다.</t>
  </si>
  <si>
    <t xml:space="preserve">20-3</t>
  </si>
  <si>
    <t xml:space="preserve">교사 연수용 AI 학습콘텐츠 및 실습도구 개발·지원</t>
  </si>
  <si>
    <t xml:space="preserve">과기정통부는 교사 연수용 AI 학습콘텐츠 및 실습도구를 ’26년 2분기까지 개발·지원하고, 연수기관과 협력하여 기술 기반 교사 연수 과정을 ’26년 3분기부터 운영한다.</t>
  </si>
  <si>
    <t xml:space="preserve">20-4</t>
  </si>
  <si>
    <t xml:space="preserve">지역 교사 AI 연수프로그램 등 운영·확산</t>
  </si>
  <si>
    <t xml:space="preserve">교육부와 시도교육청은 지역 교사 연수 운영 계획을 ’26년 1분기에 수립하고, ’26년 3분기부터 선도 교사 양성 및 학교 단위 AI 연수프로그램을 확산한다.</t>
  </si>
  <si>
    <r>
      <rPr>
        <sz val="11"/>
        <color theme="1"/>
        <rFont val="맑은 고딕"/>
        <family val="2"/>
        <charset val="1"/>
      </rPr>
      <t xml:space="preserve">21 </t>
    </r>
    <r>
      <rPr>
        <sz val="11"/>
        <color theme="1"/>
        <rFont val="Noto Sans CJK SC"/>
        <family val="2"/>
      </rPr>
      <t xml:space="preserve">정보 교사 임용 확대 및 교원 전문성 강화</t>
    </r>
  </si>
  <si>
    <t xml:space="preserve">21-1</t>
  </si>
  <si>
    <t xml:space="preserve">디지털 인재 양성을 위한 적정 교원 확보</t>
  </si>
  <si>
    <t xml:space="preserve">교육부는 정보교육 실태조사를 ’26년 4분기까지 실시하고, 관계부처 협의를 통해 디지털 인재양성을 위한 적정 교원 확보를 추진하되, 지역·학교급별 정보교사 혹은 디지털·AI 교육 전담교사의 최소 배치 기준(안) 마련을 함께 검토한다.</t>
  </si>
  <si>
    <t xml:space="preserve">21-2</t>
  </si>
  <si>
    <r>
      <rPr>
        <sz val="11"/>
        <color theme="1"/>
        <rFont val="맑은 고딕"/>
        <family val="2"/>
        <charset val="1"/>
      </rPr>
      <t xml:space="preserve">AI</t>
    </r>
    <r>
      <rPr>
        <sz val="11"/>
        <color theme="1"/>
        <rFont val="Noto Sans CJK SC"/>
        <family val="2"/>
      </rPr>
      <t xml:space="preserve">교육 교원 역량 강화 연수 체제 마련</t>
    </r>
  </si>
  <si>
    <t xml:space="preserve">교육부는 관련 교수, 교원 등을 중심으로 개발진을 구성하여 AI교육 담당 교원 역량 강화를 위한 주제별·수준별(기초-심화-전문) 연수 체제를 ’26년 2분기까지 개발하고, ’26년 3분기부터 연수를 운영한다. 또한, 지역대학의 대학원 컴퓨터공학/AI관련 학과와 연계된 교원 역량 강화 지원 체제를 ’26년 4분기까지 도입하고 지원한다.</t>
  </si>
  <si>
    <t xml:space="preserve">21-3</t>
  </si>
  <si>
    <t xml:space="preserve">정보교사 임용·양성 체계 개선</t>
  </si>
  <si>
    <t xml:space="preserve">국교위는 AI시대에 부합하는 정보 교사 임용제도 및 양성체계 개선 방향에 관한 전문가 논의 및 정책 관계자 의견 수렴을 ’26년 4분기까지 추진하고, ’27년 1분기 국가교육발전계획에 AI 시대에 부합하는 교원 양성 및 임용에 관한 중장기 정책 방향을 포함한다.</t>
  </si>
  <si>
    <t xml:space="preserve">21-4</t>
  </si>
  <si>
    <t xml:space="preserve">지역별 정보교사 배치 확대 및 근무여건 개선</t>
  </si>
  <si>
    <t xml:space="preserve">시도교육청은 교육부와 협력하여 지역별 정보 교사 수요 분석과 채용계획을 ’26년 4분기까지 수립하고, ’27년 1분기부터 정보 교사 배치 확대 및 근무 여건 개선을 추진한다.</t>
  </si>
  <si>
    <r>
      <rPr>
        <sz val="11"/>
        <color theme="1"/>
        <rFont val="맑은 고딕"/>
        <family val="2"/>
        <charset val="1"/>
      </rPr>
      <t xml:space="preserve">22 AI</t>
    </r>
    <r>
      <rPr>
        <sz val="11"/>
        <color theme="1"/>
        <rFont val="Noto Sans CJK SC"/>
        <family val="2"/>
      </rPr>
      <t xml:space="preserve">영재교육 체계 재설계</t>
    </r>
  </si>
  <si>
    <t xml:space="preserve">22-1</t>
  </si>
  <si>
    <t xml:space="preserve">영재교육기관 내 AI 심화교육과정 등 확대</t>
  </si>
  <si>
    <t xml:space="preserve">교육부는 ’26년 1분기부터 영재학교·과학고 내 AI 분야 특화 교육과정 확대 및 학교-대학-기업 연계 ｢AI 심화 연구반｣ 운영계획에 따른 ｢AI 심화 연구반｣을 운영하고, 영재학급·영재교육원 중심의 AI 영재교육 모델 설계 및 콘텐츠 등을 ’26년 4분기까지 개발하며, ’27년부터 영재학급·영재교육원을 중심으로 AI 영재 학습 프로그램을 운영한다.</t>
  </si>
  <si>
    <t xml:space="preserve">교육부 </t>
  </si>
  <si>
    <t xml:space="preserve">22-2</t>
  </si>
  <si>
    <t xml:space="preserve">영재학교·과학고 내 대학·연구기관 연계 AI융합 교육 확대</t>
  </si>
  <si>
    <t xml:space="preserve">과기정통부는 과학영재학교·과학고 내 AI융합 교육 확대 계획을 ’26년 4분기까지 마련하고, 대학·연구기관과 연계한 협력 프로그램을 강화한다.</t>
  </si>
  <si>
    <t xml:space="preserve">22-3</t>
  </si>
  <si>
    <t xml:space="preserve">영재교육기관 AI 영재교육 프로그램 운영 및 AI 소양을 함양한 대상자 선발</t>
  </si>
  <si>
    <t xml:space="preserve">교육부와 시도교육청은 영재교육기관(영재학급·영재교육원·영재학교)의 AI 영재교육 프로그램 운영계획을 ’26년 1분기까지 수립하고, ’27년부터 AI 분야 소양을 함양한 영재교육 대상자 선발을 추진한다.</t>
  </si>
  <si>
    <r>
      <rPr>
        <sz val="11"/>
        <color theme="1"/>
        <rFont val="맑은 고딕"/>
        <family val="2"/>
        <charset val="1"/>
      </rPr>
      <t xml:space="preserve">23 </t>
    </r>
    <r>
      <rPr>
        <sz val="11"/>
        <color theme="1"/>
        <rFont val="Noto Sans CJK SC"/>
        <family val="2"/>
      </rPr>
      <t xml:space="preserve">대학 및 대학원 </t>
    </r>
    <r>
      <rPr>
        <sz val="11"/>
        <color theme="1"/>
        <rFont val="맑은 고딕"/>
        <family val="2"/>
        <charset val="1"/>
      </rPr>
      <t xml:space="preserve">AI </t>
    </r>
    <r>
      <rPr>
        <sz val="11"/>
        <color theme="1"/>
        <rFont val="Noto Sans CJK SC"/>
        <family val="2"/>
      </rPr>
      <t xml:space="preserve">인재 양성</t>
    </r>
  </si>
  <si>
    <t xml:space="preserve">23-1</t>
  </si>
  <si>
    <t xml:space="preserve">다부처 AI 인재양성 지원사업 통합·조정</t>
  </si>
  <si>
    <t xml:space="preserve">국가AI전략위는 교육부, 과기정통부, 노동부, 산업부, 중기부, 국방부 등 관계 부처와 협의하여, 부처 및 청별로 분산·파편화되어 추진되어 온 AI 인재양성 관련 지원사업의 통합·조정 방안을 ’26년도 2분기까지 마련한다.</t>
  </si>
  <si>
    <t xml:space="preserve">과기정통부, 교육부, 국방부, 노동부, 산업부, 중기부</t>
  </si>
  <si>
    <t xml:space="preserve">23-2</t>
  </si>
  <si>
    <t xml:space="preserve">과기원 AI단과대학 신설 및 SW중심대학을 AI중심대학 사업으로 전환·확대</t>
  </si>
  <si>
    <t xml:space="preserve">과기정통부는 다양한 교육 모델과 교육 방식이 시도되고, 빠르게 확산될 수 있도록 4개 지역 과기원 AI단과대학을 신설하며, 소프트웨어 중심대학 사업을 AI중심대학 사업으로 전환하고 수행 사업 대학을 확대하며, 사업의 내실을 기하기 위한 방안을 ’26년 1분기까지 수립한다.</t>
  </si>
  <si>
    <t xml:space="preserve">23-3</t>
  </si>
  <si>
    <t xml:space="preserve">인문·사회·예술 분야 AI 연구 지원</t>
  </si>
  <si>
    <t xml:space="preserve">교육부는 인문·사회·예술 분야에서, 인간과 AI가 공존하는 미래 시대를 준비하기 위한 연구 지원 계획을 ’26년 1분기까지 수립하고, ’26년 2분기부터 시행될 수 있도록 추진하여, 인간 중심의 AI 사회를 위한 학문적 기반을 마련하고 관련 인재를 양성한다.</t>
  </si>
  <si>
    <t xml:space="preserve">23-4</t>
  </si>
  <si>
    <r>
      <rPr>
        <sz val="11"/>
        <color theme="1"/>
        <rFont val="맑은 고딕"/>
        <family val="2"/>
        <charset val="1"/>
      </rPr>
      <t xml:space="preserve">AI </t>
    </r>
    <r>
      <rPr>
        <sz val="11"/>
        <color theme="1"/>
        <rFont val="Noto Sans CJK SC"/>
        <family val="2"/>
      </rPr>
      <t xml:space="preserve">산학 인턴십 확대 지원</t>
    </r>
  </si>
  <si>
    <t xml:space="preserve">과기정통부는 교육부, 산업부와 협력하여 AI 융합 및 전환을 추구하는 산업 생태계와 대학의 교육 성과가 연계될 수 있도록 산학 인턴십을 확대하기 위한 실질적 지원 계획을 ’26년 1분기까지 마련하여, 학생들이 실제 사회와 산업현장의 데이터를 다루고 기업과 공동체의 문제를 해결하는 경험을 통해 현장 적응력을 높여 산업계의 사회의 AI 전환을 가속하는 선순환 구조를 만든다.</t>
  </si>
  <si>
    <t xml:space="preserve">교육부, 산업부</t>
  </si>
  <si>
    <t xml:space="preserve">23-5</t>
  </si>
  <si>
    <r>
      <rPr>
        <sz val="11"/>
        <color theme="1"/>
        <rFont val="맑은 고딕"/>
        <family val="2"/>
        <charset val="1"/>
      </rPr>
      <t xml:space="preserve">AI </t>
    </r>
    <r>
      <rPr>
        <sz val="11"/>
        <color theme="1"/>
        <rFont val="Noto Sans CJK SC"/>
        <family val="2"/>
      </rPr>
      <t xml:space="preserve">인재 조기 발굴 및 집중 육성</t>
    </r>
  </si>
  <si>
    <t xml:space="preserve">교육부는 과기정통부와 협력하여 AI 및 AI 융합연구에서 탁월한 역량을 보이는 인재를 조기에 발굴하여 집중적으로 지원하고 육성하는 프로그램을 ’26년 1분기까지 마련하여 세계 최고 수준의 AI 인재풀을 확보한다. 또한 교육부는 BK21 사업 내 AI 교육연구단(팀)을 확대하는 등 관련 사업을 통해 AI가 전 학문분야 및 융합학문 분야에 내재화할 수 있는 방안을 2026년 4분기(부처 예산안은 2026년 2분기)까지 마련한다.</t>
  </si>
  <si>
    <r>
      <rPr>
        <sz val="11"/>
        <color theme="1"/>
        <rFont val="맑은 고딕"/>
        <family val="2"/>
        <charset val="1"/>
      </rPr>
      <t xml:space="preserve">24 </t>
    </r>
    <r>
      <rPr>
        <sz val="11"/>
        <color theme="1"/>
        <rFont val="Noto Sans CJK SC"/>
        <family val="2"/>
      </rPr>
      <t xml:space="preserve">산업 </t>
    </r>
    <r>
      <rPr>
        <sz val="11"/>
        <color theme="1"/>
        <rFont val="맑은 고딕"/>
        <family val="2"/>
        <charset val="1"/>
      </rPr>
      <t xml:space="preserve">AX </t>
    </r>
    <r>
      <rPr>
        <sz val="11"/>
        <color theme="1"/>
        <rFont val="Noto Sans CJK SC"/>
        <family val="2"/>
      </rPr>
      <t xml:space="preserve">역량 제고를 위한 인재 양성</t>
    </r>
  </si>
  <si>
    <t xml:space="preserve">24-1</t>
  </si>
  <si>
    <t xml:space="preserve">전 산업 AI 활용 역량 강화 종합 지원</t>
  </si>
  <si>
    <t xml:space="preserve">산업부, 중기부, 노동부는 과기정통부와 협력하여 약 2,000만 명에 이르는 전 산업 분야 종사자를 대상으로 AI 활용 문제 해결 역량을 강화하기 위한 종합 지원체계를 구축한다. 특히 성장 잠재력이 높은 제조 현장의 AX 전환과 피지컬 AI 등을 중심으로 산학협력 교육을 포함한 방안을 ’26년 1분기까지 마련한다. 방안에는 산업 직군별 수요 기반의 교육 과정의 개발 및 온라인·온디맨드 교육 플랫폼을 활용한 접근성 확보, 국가 평생교육 시스템과의 연계를 통해 학점 인증, 자격 취득을 돕고 기업 인센티브 제도를 도입하는 등 재교육의 제도적 보장과 활성화 방안을 포함한다.</t>
  </si>
  <si>
    <t xml:space="preserve">산업부, 중기부, 노동부</t>
  </si>
  <si>
    <t xml:space="preserve">24-2</t>
  </si>
  <si>
    <t xml:space="preserve">중소기업 재직자 대상 AI 특화 계약학과 운영</t>
  </si>
  <si>
    <t xml:space="preserve">중기부는 중소기업별 상황에 맞는 맞춤형 AI 훈련 설계를 지원하고 산업현장에 특화된 AX 인력을 양성하기 위해, 중소기업 재직자를 대상으로 하는 AX 전문가 육성 프로그램을 대학 계약학과 형태로 설치·운영 계획을 마련한다. 석사, 박사 및 석·박사 통합 과정을 통해 중소기업 재직자 AI 활용 역량을 제고하여 연구개발 핵심 인력으로 성장할 수 있도록 지원한다. 중기부는 이와 같은 AI 특화 계약학과 운영계획을 ’26년 1분기까지 수립하여 사업을 추진한다.</t>
  </si>
  <si>
    <t xml:space="preserve">24-3</t>
  </si>
  <si>
    <t xml:space="preserve">취업 준비생 및 경력 전환자 대상 AI 전환 인재 집중 양성</t>
  </si>
  <si>
    <t xml:space="preserve">과기정통부는 ’26년 1분기부터 대학생·재직자 외에도 취업 준비생과 경력 전환자를 대상으로 한 산업 수요 기반 AI 전환 인재 집중 양성 체계를 새롭게 구축한다. 이를 위해 과기정통부, 중기부, 산업부, 노동부 등 관계 부처, 지방정부와 협력하여 취업 및 창업지원 프로그램을 연계·조정하고 인력 공급 체계의 효율화와 취업 준비생과 경력 전환자의 교육 접근성 제고를 추진한다. 특히 과기정통부의 이노베이션 아카데미 사업과 노동부의 K-디지털 트레이닝(KDT) 사업을 포함한 정부의 AI·소프트웨어 교육·훈련 과정을 산업 AX 및 지역 산업 수요 중심의 실무 연계형 교육·훈련으로 개편 또는 고도화하여, 현장 수요에 부합하는 교육 과정을 취업 준비생에게 제공한다.</t>
  </si>
  <si>
    <t xml:space="preserve">노동부, 산업부, 중기부</t>
  </si>
  <si>
    <r>
      <rPr>
        <sz val="11"/>
        <color theme="1"/>
        <rFont val="맑은 고딕"/>
        <family val="2"/>
        <charset val="1"/>
      </rPr>
      <t xml:space="preserve">25 </t>
    </r>
    <r>
      <rPr>
        <sz val="11"/>
        <color theme="1"/>
        <rFont val="Noto Sans CJK SC"/>
        <family val="2"/>
      </rPr>
      <t xml:space="preserve">최고 수준 </t>
    </r>
    <r>
      <rPr>
        <sz val="11"/>
        <color theme="1"/>
        <rFont val="맑은 고딕"/>
        <family val="2"/>
        <charset val="1"/>
      </rPr>
      <t xml:space="preserve">AI </t>
    </r>
    <r>
      <rPr>
        <sz val="11"/>
        <color theme="1"/>
        <rFont val="Noto Sans CJK SC"/>
        <family val="2"/>
      </rPr>
      <t xml:space="preserve">전문가 유지 및 유치</t>
    </r>
  </si>
  <si>
    <t xml:space="preserve">25-1</t>
  </si>
  <si>
    <t xml:space="preserve">글로벌 AI 인재 유치</t>
  </si>
  <si>
    <t xml:space="preserve">과기정통부는 글로벌 인재 유치를 위하여 적극적 후보 탐색과 채용을 위한 방안을 ’26년 1분기까지 마련하고, 활동을 시작한다. 또한 법무부, 산업부와 긴밀히 협력하여, 복잡한 비자 절차, 획일적 보상, 언어 장벽, 자녀 교육 및 주거 등 글로벌 인재가 오지 못하거나, 오더라도 정주하지 못하게 하는 원인을 구체적으로 조사 분석하고, 이를 바탕으로 글로벌 최고 수준 AI 및 AI 융합 인재 유치와 지속 가능한 기여가 가능하도록 인건비·체재비·연구비·연구자율성 등 파격적인 유인책 제공 등의 계획 수립과 비자 발급 및 국적취득 자격 완화, 교육·주거 등 정부의 정주 지원 제도 개선을 추진하여 글로벌 AI 인재 확보 경쟁에서 한국이 매력적인 목적지로 부상할 수 있도록 한다.</t>
  </si>
  <si>
    <t xml:space="preserve">법무부, 산업부</t>
  </si>
  <si>
    <t xml:space="preserve">25-2</t>
  </si>
  <si>
    <t xml:space="preserve">국내 AI 인재 유출 방지 및 정착 지원</t>
  </si>
  <si>
    <t xml:space="preserve">과기정통부는 법무부, 산업부, 중기부와 협력하여 국내 AI 및 AI 융합 인재의 해외 유출을 방지하고 이들이 국내에서 안정적으로 연구와 개발을 지속할 수 있는 유지·관리 방안을 추진한다. 이를 위해 국내 배출 외국인 박사급 AI 및 AI 융합 인재의 정주 유지 지원책(Top-Tier, K-STAR 비자 트랙 운영을 포함한 국적취득, 인건비, 연구비, 연구 환경 등), 국내 배출 내국인 AI 및 AI 융합 인재의 정착·유지 전략을 마련하여, AI 및 AI 융합 인재의 해외 유출을 방지하고, 국내 연구 및 창업 생태계를 강화하여, 대한민국을 AI 및 AI 융합 인재 유입국으로 전환하기 위한 구체적 실행 방안을 ’26년 1분기까지 수립한다.</t>
  </si>
  <si>
    <t xml:space="preserve">법무부, 산업부, 중기부</t>
  </si>
  <si>
    <r>
      <rPr>
        <sz val="11"/>
        <color theme="1"/>
        <rFont val="맑은 고딕"/>
        <family val="2"/>
        <charset val="1"/>
      </rPr>
      <t xml:space="preserve">26 AI </t>
    </r>
    <r>
      <rPr>
        <sz val="11"/>
        <color theme="1"/>
        <rFont val="Noto Sans CJK SC"/>
        <family val="2"/>
      </rPr>
      <t xml:space="preserve">인재 경력 단절 해소</t>
    </r>
  </si>
  <si>
    <t xml:space="preserve">26-1</t>
  </si>
  <si>
    <r>
      <rPr>
        <sz val="11"/>
        <color theme="1"/>
        <rFont val="맑은 고딕"/>
        <family val="2"/>
        <charset val="1"/>
      </rPr>
      <t xml:space="preserve">AI </t>
    </r>
    <r>
      <rPr>
        <sz val="11"/>
        <color theme="1"/>
        <rFont val="Noto Sans CJK SC"/>
        <family val="2"/>
      </rPr>
      <t xml:space="preserve">분야 전문연구요원 우대 및 배정기관 확대</t>
    </r>
  </si>
  <si>
    <t xml:space="preserve">국방부와 병무청은 과기정통부와 협력하여 전문연구요원 편입 대상에 AI 및 AI 융합 분야를 우대하고 그 기준을 마련하여야 한다. 또한 전문연구요원이 배정될 수 있는 기관의 범위를 확대하여 AI 인재들이 다양한 연구 환경에서 역량을 발휘할 수 있도록 한다. 이에 따라 AI 및 AI 융합 분야 전문연구요원 배정 기관 범위 조정 및 정원 확보 방안을 ’26년 3분기까지 수립하고, 필요한 제도 개선을 거쳐 ’27년부터 이를 시행하여 우수 AI 인재의 병역 이행 중 경력 단절을 실질적으로 방지한다.</t>
  </si>
  <si>
    <t xml:space="preserve">국방부, 병무청</t>
  </si>
  <si>
    <t xml:space="preserve">26-2</t>
  </si>
  <si>
    <r>
      <rPr>
        <sz val="11"/>
        <color theme="1"/>
        <rFont val="맑은 고딕"/>
        <family val="2"/>
        <charset val="1"/>
      </rPr>
      <t xml:space="preserve">AI </t>
    </r>
    <r>
      <rPr>
        <sz val="11"/>
        <color theme="1"/>
        <rFont val="Noto Sans CJK SC"/>
        <family val="2"/>
      </rPr>
      <t xml:space="preserve">연구 인력 경력단절 해소 지원</t>
    </r>
  </si>
  <si>
    <t xml:space="preserve">과기정통부는 성평등부, 노동부, 복지부, 교육부와 협력하여 출산 및 육아로 인한 석·박사급 AI 및 AI 융합연구 인력의 경력 단절을 해소하기 위한 구체적 지원 방안을 ’26년 2분기까지 마련하고, 즉시 시행한다. 이 방안에는 단순히 출산휴가나 육아휴직을 보장하는 수준을 넘어, 연구 및 산업 현장의 특수성을 고려한 구체적인 지원책을 포함한다.</t>
  </si>
  <si>
    <t xml:space="preserve">성평등부, 교육부, 노동부, 복지부</t>
  </si>
  <si>
    <t xml:space="preserve">전략분야 4) AI모델 확보</t>
  </si>
  <si>
    <r>
      <rPr>
        <sz val="11"/>
        <color theme="1"/>
        <rFont val="맑은 고딕"/>
        <family val="2"/>
        <charset val="1"/>
      </rPr>
      <t xml:space="preserve">27 </t>
    </r>
    <r>
      <rPr>
        <sz val="11"/>
        <color theme="1"/>
        <rFont val="Noto Sans CJK SC"/>
        <family val="2"/>
      </rPr>
      <t xml:space="preserve">범용 </t>
    </r>
    <r>
      <rPr>
        <sz val="11"/>
        <color theme="1"/>
        <rFont val="맑은 고딕"/>
        <family val="2"/>
        <charset val="1"/>
      </rPr>
      <t xml:space="preserve">AI</t>
    </r>
    <r>
      <rPr>
        <sz val="11"/>
        <color theme="1"/>
        <rFont val="Noto Sans CJK SC"/>
        <family val="2"/>
      </rPr>
      <t xml:space="preserve">파운데이션 모델 확보</t>
    </r>
  </si>
  <si>
    <t xml:space="preserve">27-1</t>
  </si>
  <si>
    <t xml:space="preserve">독자 AI 파운데이션 모델 확보 및 활용 지원</t>
  </si>
  <si>
    <t xml:space="preserve">과기정통부는 ｢독자 AI 파운데이션 모델｣ 프로젝트를 통해 모두의 AI 기반이 될 국제적 경쟁력을 갖춘 국내 기술 기반 AI 파운데이션 모델을 ’27년 4분기까지 순차적으로 확보하고, 국가적 AX 사업의 기본 모델로 활용을 뒷받침하여, 공공･산업, 국민 일상 全 분야 접근성 향상을 지원한다.</t>
  </si>
  <si>
    <r>
      <rPr>
        <sz val="11"/>
        <color theme="1"/>
        <rFont val="맑은 고딕"/>
        <family val="2"/>
        <charset val="1"/>
      </rPr>
      <t xml:space="preserve">28 </t>
    </r>
    <r>
      <rPr>
        <sz val="11"/>
        <color theme="1"/>
        <rFont val="Noto Sans CJK SC"/>
        <family val="2"/>
      </rPr>
      <t xml:space="preserve">산업별 수요 기반 </t>
    </r>
    <r>
      <rPr>
        <sz val="11"/>
        <color theme="1"/>
        <rFont val="맑은 고딕"/>
        <family val="2"/>
        <charset val="1"/>
      </rPr>
      <t xml:space="preserve">AI </t>
    </r>
    <r>
      <rPr>
        <sz val="11"/>
        <color theme="1"/>
        <rFont val="Noto Sans CJK SC"/>
        <family val="2"/>
      </rPr>
      <t xml:space="preserve">파운데이션 모델 확보 및 실증 확산</t>
    </r>
  </si>
  <si>
    <t xml:space="preserve">28-1</t>
  </si>
  <si>
    <t xml:space="preserve">산업별 모델 개발을 위한 데이터 및 컴퓨팅 확보</t>
  </si>
  <si>
    <t xml:space="preserve">산업AX･생태계 분과</t>
  </si>
  <si>
    <t xml:space="preserve">산업부는 과기정통부, 복지부, 금융위, 국토부, 문체부, 방미통위와 협력하여 모델 개발 및 확보를 위해 ①산업별 민·관 합동 데이터 협의체를 ’26년 1분기까지 구성하고, ②산업 데이터 표준화 및 고품질 데이터셋 구축 로드맵을 ’26년 2분기까지 수립하며, ③국가 AI 컴퓨팅 자원을 ’26년 3분기부터 할당한다.</t>
  </si>
  <si>
    <t xml:space="preserve">과기정통부, 방미통위, 국토부, 금융위, 문체부, 복지부</t>
  </si>
  <si>
    <t xml:space="preserve">28-2</t>
  </si>
  <si>
    <t xml:space="preserve">산업 특화 파운데이션 모델 확보를 위한 R&amp;D</t>
  </si>
  <si>
    <t xml:space="preserve">산업부는 과기정통부, 복지부, 금융위, 국토부, 문체부, 방미통위와 협력하여 제조, 의료·바이오, 금융, 모빌리티, 미디어·콘텐츠 분야를 우선적 목표로 산업 특화 파운데이션 모델 확보를 위한 대규모 R&amp;D 프로젝트를 ’26년 1분기부터 기획하여 관련 예산 절차를 진행 후 조속히 착수하되, 이 과정에서 과기정통부가 추진 중인 국내 기술 기반의 공용 파운데이션 모델도 함께 활용하여 AI 응용 기술뿐만 아니라 기반 기술까지 포함한 AI 풀스택 기술 전반의 자립도를 높인다.</t>
  </si>
  <si>
    <t xml:space="preserve">28-3</t>
  </si>
  <si>
    <t xml:space="preserve">산업 특화 파운데이션 모델의 산업 현장 적용 촉진</t>
  </si>
  <si>
    <t xml:space="preserve">산업부는 과기정통부, 복지부, 금융위, 국토부, 문체부, 방미통위와 협력하여 개발된 산업별 특화 파운데이션 모델의 산업 현장 적용을 촉진하기 위해, ①주요 산업 클러스터 내에 ‘AI 솔루션 실증 지원센터’를 지정·운영, ②중소·중견기업의 AI 도입을 활성화하기 위해 산업별 수요를 반영한 컨설팅·실증 통합지원 체계 구축, ③지속 가능한 생태계 조성을 위해 AI 개발기업과 수요 기업 간 기술 매칭 및 성공 사례 공유를 ’26년 3분기까지 추진하고, ④행동계획 과제들과 연계하여 산업별 ‘AI 전환 얼라이언스’ 발족 및 분기별 성과 확산 포럼 개최를 ’26년 4분기부터 추진한다.</t>
  </si>
  <si>
    <t xml:space="preserve">28-4</t>
  </si>
  <si>
    <r>
      <rPr>
        <sz val="11"/>
        <color theme="1"/>
        <rFont val="맑은 고딕"/>
        <family val="2"/>
        <charset val="1"/>
      </rPr>
      <t xml:space="preserve">AI </t>
    </r>
    <r>
      <rPr>
        <sz val="11"/>
        <color theme="1"/>
        <rFont val="Noto Sans CJK SC"/>
        <family val="2"/>
      </rPr>
      <t xml:space="preserve">솔루션 품질 평가 인증제도 마련</t>
    </r>
  </si>
  <si>
    <t xml:space="preserve">산업부는 과기정통부, 복지부, 금융위, 국토부, 문체부, 방미통위와 협력하여 AI 솔루션의 성능과 안정성을 객관적으로 평가·인증할 수 있는 ‘AI 솔루션 품질 평가 인증제도’를 ’27년 2분기까지 마련하여, AI 도입 기업의 신뢰도를 높이고 건전한 시장 성장을 지원한다.</t>
  </si>
  <si>
    <r>
      <rPr>
        <sz val="11"/>
        <color theme="1"/>
        <rFont val="맑은 고딕"/>
        <family val="2"/>
        <charset val="1"/>
      </rPr>
      <t xml:space="preserve">29 </t>
    </r>
    <r>
      <rPr>
        <sz val="11"/>
        <color theme="1"/>
        <rFont val="Noto Sans CJK SC"/>
        <family val="2"/>
      </rPr>
      <t xml:space="preserve">핵심 과학 분야 </t>
    </r>
    <r>
      <rPr>
        <sz val="11"/>
        <color theme="1"/>
        <rFont val="맑은 고딕"/>
        <family val="2"/>
        <charset val="1"/>
      </rPr>
      <t xml:space="preserve">AI </t>
    </r>
    <r>
      <rPr>
        <sz val="11"/>
        <color theme="1"/>
        <rFont val="Noto Sans CJK SC"/>
        <family val="2"/>
      </rPr>
      <t xml:space="preserve">파운데이션 모델 확보 및 공공</t>
    </r>
    <r>
      <rPr>
        <sz val="11"/>
        <color theme="1"/>
        <rFont val="맑은 고딕"/>
        <family val="2"/>
        <charset val="1"/>
      </rPr>
      <t xml:space="preserve">·</t>
    </r>
    <r>
      <rPr>
        <sz val="11"/>
        <color theme="1"/>
        <rFont val="Noto Sans CJK SC"/>
        <family val="2"/>
      </rPr>
      <t xml:space="preserve">산업 확산</t>
    </r>
  </si>
  <si>
    <t xml:space="preserve">29-1</t>
  </si>
  <si>
    <t xml:space="preserve">과학AI 기반 바이오·제약·재료·화학 산업 생태계 조성 및 기반 강화</t>
  </si>
  <si>
    <t xml:space="preserve">과기정통부, 복지부, 산업부, 중기부는 과학AI 기반 바이오·제약·재료·화학 산업 생태계 조성과 글로벌 시장 진출을 위한 산업 기반 강화 전략을 추진한다. 과기정통부와 복지부는 글로벌 협력 네트워크를 통한 데이터 공유 방안을 ’26년 1분기까지 마련하고, 산업부와 중기부는 수요기업과 AI 기업 간 협업 R&amp;D를 ’26년 1분기부터 지원한다. 과기정통부는 복지부, 산업부, 농식품부, 식약처 등과 공동으로 AI 기반 바이오 5대 강국 도약을 위한 계획을 수립하고, ’26년 1분기부터 본격적으로 시행한다.</t>
  </si>
  <si>
    <t xml:space="preserve">과기정통부, 복지부, 산업부, 중기부</t>
  </si>
  <si>
    <t xml:space="preserve">농식품부</t>
  </si>
  <si>
    <t xml:space="preserve">29-10</t>
  </si>
  <si>
    <t xml:space="preserve">지구시스템 모델 및 데이터 기반 기후변화 대응</t>
  </si>
  <si>
    <t xml:space="preserve">농식품부는 기후부와 협력하여 지구환경 데이터플랫폼과 지구시스템 모델을 활용하여 기후 변화 대응 업무를 추진한다. 이를 위해 지구시스템 데이터플랫폼을 활용하여 농업 부분 온실가스 감축과 기후변화 대응 사업을 ’26년 4분기까지 고도화한다.</t>
  </si>
  <si>
    <t xml:space="preserve">29-11</t>
  </si>
  <si>
    <t xml:space="preserve">지하·우주기상 분야 목적지향적 다운스트림 모델 개발·적용</t>
  </si>
  <si>
    <t xml:space="preserve">현재 데이터 축적 수준은 상대적으로 제한적이나, 지구시스템 전반에 미치는 영향과 사회·산업적 파급효과를 고려할 때 중요성이 큰 지하 및 우주기상 관련 핵심 요소에 대해서는, 국토부(지하 관련 요소)와 우주청(우주기상 관련 요소)이 기상청 등 관계 부처와 협력하여 우선 한반도 특화 또는 목적 지향적 다운스트림 모델 개발 전략을 ’27년 1분기까지 수립하고, ’27년 2분기까지 적용 로드맵을 마련한다. 이 과정에서 우주기상 관련 변수 체계는 데이터·모델 체계와 적용 대상 범위를 단계적으로 구체화하고, 지하 관련 변수 체계는 대기–지표–지하 상호작용을 반영한 적용 시나리오를 중심으로 고도화한다. 향후 데이터 확보 수준과 기술 성숙도에 따라, 해당 성과를 전 지구시스템 파운데이션 모델에 단계적으로 반영한다.</t>
  </si>
  <si>
    <t xml:space="preserve">국토부, 우주청</t>
  </si>
  <si>
    <t xml:space="preserve">기상청</t>
  </si>
  <si>
    <t xml:space="preserve">29-2</t>
  </si>
  <si>
    <r>
      <rPr>
        <sz val="11"/>
        <color theme="1"/>
        <rFont val="맑은 고딕"/>
        <family val="2"/>
        <charset val="1"/>
      </rPr>
      <t xml:space="preserve">AI </t>
    </r>
    <r>
      <rPr>
        <sz val="11"/>
        <color theme="1"/>
        <rFont val="Noto Sans CJK SC"/>
        <family val="2"/>
      </rPr>
      <t xml:space="preserve">기반 자동화 및 자율실험실 구축</t>
    </r>
  </si>
  <si>
    <t xml:space="preserve">과기정통부와 산업부는 첨단과학 AI를 통한 첨단산업의 혁신을 촉진하기 위해 AI 기반 자동화 및 자율실험실 구축 사업을 ’26년 2분기까지 기획한다.</t>
  </si>
  <si>
    <t xml:space="preserve">29-3</t>
  </si>
  <si>
    <t xml:space="preserve">바이오 파운데이션 모델 개발 및 데이터 생산 인프라 조성</t>
  </si>
  <si>
    <t xml:space="preserve">과기정통부는 복지부, 산업부와 함께 유전체, 범분자, 세포 등 생명 계층의 핵심 축에 집중하여 바이오 파운데이션 모델 개발을 추진한다. 모델의 개발·고도화를 지원함과 동시에, 이를 뒷받침할 관련 데이터 생산 인프라 구축도 병행한다. 이를 위해 ’25년 4분기에 수립된 바이오 혁신 전략을 기반으로, 단계적으로 바이오 기반 모델 개발과 데이터 생산 인프라 조성을 시작하고 ’27년부터 매년 1분기마다 성과를 점검한다.</t>
  </si>
  <si>
    <t xml:space="preserve">복지부, 산업부</t>
  </si>
  <si>
    <t xml:space="preserve">29-4</t>
  </si>
  <si>
    <t xml:space="preserve">멀티스케일 바이오 파운데이션 모델 개발</t>
  </si>
  <si>
    <t xml:space="preserve">과기정통부는 바이오 연구와 산업 발전을 위한 ‘멀티스케일 바이오 파운데이션 모델’ 개발 로드맵을 ’26년 1분기까지 수립한다. 이후 과기정통부는 로드맵에 따라 모델 개발 계획을 마련하고, 복지부는 의료데이터 연계·구축 계획을 수립하며, 양 부처는 공동으로 모델 개발과 데이터 생산을 ’27년부터 본격 추진한다. 과기정통부, 산업부, 복지부는 혁신 바이오 파운데이션 모델과 연계한 AI 신약 개발 사업을 ’26년 1분기부터 추진한다.</t>
  </si>
  <si>
    <t xml:space="preserve">과기정통부, 복지부, 산업부</t>
  </si>
  <si>
    <t xml:space="preserve">29-5</t>
  </si>
  <si>
    <t xml:space="preserve">재료·화학 AI 모델 개발 및 데이터 생태계 조성</t>
  </si>
  <si>
    <t xml:space="preserve">과기정통부는 첨단 신소재와 신물질 발굴을 통해 국가 전략산업의 경쟁력 강화를 견인할 수 있는 글로벌 수준의 재료·화학 AI 모델을 개발한다. 또한 재료·화학 연구와 관련 산업의 발전을 위한 데이터 생산·활용 생태계를 조성한다. 재료·화학 모델 개발, 데이터 생태계 조성을 위한 구체적 추진 방안을 ’26년 1분기까지 마련한다.</t>
  </si>
  <si>
    <t xml:space="preserve">29-6</t>
  </si>
  <si>
    <t xml:space="preserve">전 지구시스템 파운데이션 모델 개발</t>
  </si>
  <si>
    <t xml:space="preserve">과기정통부는 기후부, 해수부, 국토부, 기상청, 우주청과 협력하여 대기·해양·육상·해빙·생태·우주기상 등 지구시스템 데이터를 통합 학습하는 글로벌 수준의 전 지구시스템 파운데이션 모델 및 이에 기반한 한반도 특화 모델에 대한 개발 전략과 이를 촉진할 데이터 생태계 구축 방안을 ’27년 1분기까지 수립하고, 기후부, 해수부, 국토부, 기상청, 우주청은 위성·관측소·항공·시뮬레이션 등에서 생산되는 다원적 데이터를 연계·활용하기 위한 국가 지구환경 데이터플랫폼 구축 방안을 ’27년 2분기까지 수립한다. 기후부와 기상청은 대기 및 기상 분야 변수(육상·해양의 기온·강수·바람·해수면온도 및 온실가스 등), 해수부는 해양 및 극지 분야 환경 및 생태계 변수, 과기정통부와 국토부는 육상 및 지하 변수(지형, 담수, 지하수, 토양 등), 우주청은 우주기상 변수를 주관한다. 국토부는, 기후부, 기상청은 전 지구시스템 파운데이션 모델과 한반도 특화 모델을 기반으로 재생에너지 생산량, 극한 기상·재난 발생, 국토 정보 등의 활용 계획과 적용 로드맵을 ’27년 4분기까지 마련한다.</t>
  </si>
  <si>
    <t xml:space="preserve">과기정통부, 기후부, 해수부, 국토부, 우주청, 기상청</t>
  </si>
  <si>
    <t xml:space="preserve">29-7</t>
  </si>
  <si>
    <t xml:space="preserve">한국형 AI 기상·기후 예측 파운데이션 모델 개발</t>
  </si>
  <si>
    <t xml:space="preserve">기상청은 관측자료, 수치모델 등 이(異)종 데이터를 기반으로 한국형 AI 기상·기후 예측 파운데이션 모델 개발을 ’26년 1분기에 착수한다. 이를 통해 전 지구시스템 파운데이션 모델을 구축할 수 있는 기반을 마련한다. 또한, 기상기후데이터 API허브, 기후정보포털 등 기상청 데이터 플랫폼의 고도화를 통한 국가 지구환경 데이터플랫폼 구축하고 활용한다.</t>
  </si>
  <si>
    <t xml:space="preserve">29-8</t>
  </si>
  <si>
    <t xml:space="preserve">해양 예측 시스템 개발 및 연계</t>
  </si>
  <si>
    <t xml:space="preserve">해수부는 국내외 관측자료와 기술을 기반으로 해양 예측 시스템 개발을 ’26년 2분기 이내에 착수한다.  우리나라 주변 해역 및 북극항로에 대한 감시·예측 기술을 고도화하고, 관련 서비스를 단계적으로 확장하여 산업·공공 분야의 활용을 촉진하는 혁신 생태계를 조성한다. 또한, ’27년 3분기 내 지구환경 데이터 플랫폼 및 지구시스템 파운데이션 모델의 연계 활용 방안을 마련한다.</t>
  </si>
  <si>
    <t xml:space="preserve">해수부</t>
  </si>
  <si>
    <t xml:space="preserve">29-9</t>
  </si>
  <si>
    <t xml:space="preserve">실시간 재난 탐지·예측 기술 개발 생태계 조성</t>
  </si>
  <si>
    <t xml:space="preserve">행안부는 지구시스템 파운데이션 모델 및 한반도 특화 모델과 기상청 국가 기후변화 표준시나리오를 활용한 취약성 분석 및 대응 체계 고도화 방안을 ’27년 1분기까지 마련한다. 이를 위해 지방정부, 재난관리 주관기관 등과 협업하여 지구시스템 및 한반도 모델 기반의 재난 안전 데이터 수집 체계 및 플랫폼을 마련함으로써 실시간 재난 탐지·예측 기술 개발 생태계를 조성한다.</t>
  </si>
  <si>
    <r>
      <rPr>
        <sz val="11"/>
        <color theme="1"/>
        <rFont val="맑은 고딕"/>
        <family val="2"/>
        <charset val="1"/>
      </rPr>
      <t xml:space="preserve">30 </t>
    </r>
    <r>
      <rPr>
        <sz val="11"/>
        <color theme="1"/>
        <rFont val="Noto Sans CJK SC"/>
        <family val="2"/>
      </rPr>
      <t xml:space="preserve">보건의료 특화 </t>
    </r>
    <r>
      <rPr>
        <sz val="11"/>
        <color theme="1"/>
        <rFont val="맑은 고딕"/>
        <family val="2"/>
        <charset val="1"/>
      </rPr>
      <t xml:space="preserve">AI</t>
    </r>
    <r>
      <rPr>
        <sz val="11"/>
        <color theme="1"/>
        <rFont val="Noto Sans CJK SC"/>
        <family val="2"/>
      </rPr>
      <t xml:space="preserve">파운데이션 모델 확보</t>
    </r>
  </si>
  <si>
    <t xml:space="preserve">30-1</t>
  </si>
  <si>
    <t xml:space="preserve">보건의료 특화 AI 파운데이션 모델 개발</t>
  </si>
  <si>
    <t xml:space="preserve">복지부는 현재 과기정통부에서 개발 중인 ‘독자 AI 파운데이션 모델’에 기반한 보건의료 특화 AI 파운데이션모델 개발 계획(오픈소스로 공개 포함)을 ’26년 2분기까지 수립한다. 아울러 복지부는 “독자 AI 파운데이션모델”의 성공적인 개발 및 향후 보건의료 특화 모델로의 안정적인 발전을 위해 개발에 적극 참여하고, 책임성(responisibility), 안전성(safety), 형평성(fairness), 비편향성(unbiasedness) 등의 가치가 개발 초기부터 잘 반영될 수 있도록 기여한다.</t>
  </si>
  <si>
    <t xml:space="preserve">전략분야 5) AI규제 혁신</t>
  </si>
  <si>
    <r>
      <rPr>
        <sz val="11"/>
        <color theme="1"/>
        <rFont val="맑은 고딕"/>
        <family val="2"/>
        <charset val="1"/>
      </rPr>
      <t xml:space="preserve">31 </t>
    </r>
    <r>
      <rPr>
        <sz val="11"/>
        <color theme="1"/>
        <rFont val="Noto Sans CJK SC"/>
        <family val="2"/>
      </rPr>
      <t xml:space="preserve">개인정보</t>
    </r>
    <r>
      <rPr>
        <sz val="11"/>
        <color theme="1"/>
        <rFont val="맑은 고딕"/>
        <family val="2"/>
        <charset val="1"/>
      </rPr>
      <t xml:space="preserve">·</t>
    </r>
    <r>
      <rPr>
        <sz val="11"/>
        <color theme="1"/>
        <rFont val="Noto Sans CJK SC"/>
        <family val="2"/>
      </rPr>
      <t xml:space="preserve">미개방 산업 데이터 활용 규제 과감한 정비</t>
    </r>
  </si>
  <si>
    <t xml:space="preserve">31-1</t>
  </si>
  <si>
    <t xml:space="preserve">클라우드를 통한 개인정보의 안전한 AI 학습 활용</t>
  </si>
  <si>
    <t xml:space="preserve">개인정보위는 사전심의를 거친 경우, 적절한 보안조치가 적용된 안전한 클라우드를 통하여 
가명처리하지 않은 개인정보를 안전하게 AI학습에 활용할 수 있도록 ’26년 
4분기 내로 개인정보 보호법 개정을 추진하고, 
4분기 내로 하위법령안과 관련 가이드라인안을 마련한다.</t>
  </si>
  <si>
    <t xml:space="preserve">31-2</t>
  </si>
  <si>
    <t xml:space="preserve">개인정보 AI 특례 마련(신속 처리(심의))</t>
  </si>
  <si>
    <t xml:space="preserve">개인정보위는 개인정보에 대한 안전성 보장 및 AI 강국 실현을 위한 AI 기술개발 지원의 시급성을 종합적으로 고려하여, 개인정보 보호법 AI 특례 개정과 하위법령ㆍ가이드라인안 마련 등을 통해 특례 신청 후 진행 경과와 결과를 홈페이지 등을 통해 30일 이내(유사신청 건은 15일) 확인 할 수 있도록 AI 특례 신속 처리 절차와 해당 심의를 위한 전문위원회 구성 및 운영 방안을 ’26년 
4분기까지 마련하고 관계 부처는 이를 지원한다.</t>
  </si>
  <si>
    <t xml:space="preserve">31-3</t>
  </si>
  <si>
    <t xml:space="preserve">국가 간 AI 공동연구 시 개인정보 보호를 위한 관련 규정 정비</t>
  </si>
  <si>
    <t xml:space="preserve">개인정보위는 개인정보를 안전하게 보호하면서 국가 간 AI 공동연구가 가능하도록 하는 관련 규정 정비 계획을 ’26년 2분기 내로 마련한다.</t>
  </si>
  <si>
    <t xml:space="preserve">31-4</t>
  </si>
  <si>
    <t xml:space="preserve">클라우드 기반으로 미개방 산업 데이터를 활용하는 데이터 스페이스 구현</t>
  </si>
  <si>
    <t xml:space="preserve">과기정통부는 산업부와 협의하여 미개방 산업 데이터를 활용할 수 있는 클라우드 기반의 데이터 스페이스 구현 방안을 ’26년 2분기 내로 마련한다.</t>
  </si>
  <si>
    <r>
      <rPr>
        <sz val="11"/>
        <color theme="1"/>
        <rFont val="맑은 고딕"/>
        <family val="2"/>
        <charset val="1"/>
      </rPr>
      <t xml:space="preserve">32 AI </t>
    </r>
    <r>
      <rPr>
        <sz val="11"/>
        <color theme="1"/>
        <rFont val="Noto Sans CJK SC"/>
        <family val="2"/>
      </rPr>
      <t xml:space="preserve">학습</t>
    </r>
    <r>
      <rPr>
        <sz val="11"/>
        <color theme="1"/>
        <rFont val="맑은 고딕"/>
        <family val="2"/>
        <charset val="1"/>
      </rPr>
      <t xml:space="preserve">·</t>
    </r>
    <r>
      <rPr>
        <sz val="11"/>
        <color theme="1"/>
        <rFont val="Noto Sans CJK SC"/>
        <family val="2"/>
      </rPr>
      <t xml:space="preserve">평가 목적의 저작물 활용 및 유통 생태계 활성화</t>
    </r>
  </si>
  <si>
    <t xml:space="preserve">32-1</t>
  </si>
  <si>
    <t xml:space="preserve">저작물 AI 학습 활용 법·제도 개선</t>
  </si>
  <si>
    <t xml:space="preserve">문체부는 과기정통부, 중기부 등과 협력하여 AI 기술-콘텐츠 산업의 동반 성장, 이익 공유를 목표로, 인공지능 학습 시 사전 동의를 원하는 창작자의 권리를 존중하면서 기업이 학습 목적으로 법적 불확실성 없이 저작물을 활용할 수 있도록 하는 내용을 포함한 법·제도 개선 방안을 ’26년 2분기까지 AI기업과 창작자 간 상생 생태계 구축을 위한 충분한 합의를 거쳐 마련한다. 위 방안은 저작권자의 권리 보호와 정당한 보상을 기본 원칙으로 하며, 거래시장이 있는 경우에는 합리적인 거래 활성화를 지원하고 거래 시장이 없는 경우에 대해서는 학습 허용 범위 설정, 저작물의 학습 금지 표시 제도와 구체적이고 쓰기 용이한 장치 마련, AI 학습의 투명성을 확보하는 내용을 포함하여야 한다. 아울러 문체부는 위 방안을 반영한 「저작권법」 개정안을 ’26년 3분기까지 국회에 제출(또는 국회 발의)한다. </t>
  </si>
  <si>
    <t xml:space="preserve">과기정통부, 중기부</t>
  </si>
  <si>
    <t xml:space="preserve">32-2</t>
  </si>
  <si>
    <t xml:space="preserve">독자 AI 파운데이션 모델 등 공익 목적 AI 개발의 공정이용 인정 제도화 방안 마련</t>
  </si>
  <si>
    <t xml:space="preserve">과기정통부는 독자 AI 파운데이션 모델과 같이 AI 생태계확산 및 사회적 이익 증진 등을 위한 AI 개발의 경우 현행 저작권법상 공정이용 제도의 취지에 맞춰 AI 학습 목적으로 저작물을 활용할 수 있도록 하는 내용을 담은 「AI기본법」 개정안 혹은 「AI특별법」제정안을 ’26년 4분기까지 AI기업과 창작자 간 상생 생태계 구축을 위한 충분한 합의를 거쳐 마련하여 국회에 제출(또는 국회 발의)하되, 문체부의 「저작권법」 개정 상황을 고려하여 추진한다. </t>
  </si>
  <si>
    <t xml:space="preserve">32-3</t>
  </si>
  <si>
    <r>
      <rPr>
        <sz val="11"/>
        <color theme="1"/>
        <rFont val="맑은 고딕"/>
        <family val="2"/>
        <charset val="1"/>
      </rPr>
      <t xml:space="preserve">AI </t>
    </r>
    <r>
      <rPr>
        <sz val="11"/>
        <color theme="1"/>
        <rFont val="Noto Sans CJK SC"/>
        <family val="2"/>
      </rPr>
      <t xml:space="preserve">학습 목적 저작물 이용허락 및 양도 표준계약서 마련</t>
    </r>
  </si>
  <si>
    <t xml:space="preserve">문체부는 과기정통부 등 관련 부처와 협력하여 AI 학습·평가 목적의 저작권 이용허락 및 양도에 대한 표준계약서를 ’26년 3분기까지 고시한다. 또한, 도서·문헌 출판, 각종 시험 출제, 방송 음성·영상 제작·방영 등 통상적인 저작물의 제작·유통 과정에서 활용되는 모든 표준계약서에 대해, 저작물의 AI 학습·평가 목적 별도 유통 여부 및 조건에 대한 조항을 추가하여 ’26년 4분기까지 고시한다. 뿐만 아니라, 신규·수정 고시된 표준계약서들이 시장에 정착하고 저작물의 AI 학습·평가 목적 유통이 일반화될 수 있도록 적극적인 인식 제고 활동을 수행한다.</t>
  </si>
  <si>
    <t xml:space="preserve">32-4</t>
  </si>
  <si>
    <r>
      <rPr>
        <sz val="11"/>
        <color theme="1"/>
        <rFont val="맑은 고딕"/>
        <family val="2"/>
        <charset val="1"/>
      </rPr>
      <t xml:space="preserve">AI </t>
    </r>
    <r>
      <rPr>
        <sz val="11"/>
        <color theme="1"/>
        <rFont val="Noto Sans CJK SC"/>
        <family val="2"/>
      </rPr>
      <t xml:space="preserve">생성 콘텐츠의 저작물 지위 정립</t>
    </r>
  </si>
  <si>
    <t xml:space="preserve">문체부는 AI생성 도구를 이용하는 창작자와 기존의 창작자 간 발생 가능한 갈등 조정을 위해 각 콘텐츠 산업별 창작자들의 의견을 반영하여 ’26년 2분기까지 창작자들이 AI를 활용해 생성한 콘텐츠의 저작물로서의 지위를 정립한다. 이를 위하여 문체부는 ’25년 6월 발표한 ｢생성형 인공지능 활용물의 저작권 등록 안내서｣와 ｢생성형 인공지능 결과물에 의한 저작권 분쟁 예방 안내서｣의 확산과 고도화를 통해 저작권 분쟁을 예방하고 이에 대응하기 위한 노력을 지속한다.</t>
  </si>
  <si>
    <t xml:space="preserve">32-5</t>
  </si>
  <si>
    <t xml:space="preserve">공공저작물 AI 학습데이터 개방 활성화 및 활용성 증대</t>
  </si>
  <si>
    <t xml:space="preserve">문체부는 저작권 문제가 해결된 공공저작물의 AI 학습데이터 개방 활성화와 활용성 증대를 위한 실질적인 방안을 ’26년 1분기 내로 마련한다.</t>
  </si>
  <si>
    <t xml:space="preserve">32-6</t>
  </si>
  <si>
    <t xml:space="preserve">저작물의 학습용 데이터 거래 활성화</t>
  </si>
  <si>
    <t xml:space="preserve">과기정통부는 문체부와 협력하여 ｢저작물의 학습용 데이터 거래 활성화 방안｣을 ’26년 3분기까지 수립한다.</t>
  </si>
  <si>
    <r>
      <rPr>
        <sz val="11"/>
        <color theme="1"/>
        <rFont val="맑은 고딕"/>
        <family val="2"/>
        <charset val="1"/>
      </rPr>
      <t xml:space="preserve">33 </t>
    </r>
    <r>
      <rPr>
        <sz val="11"/>
        <color theme="1"/>
        <rFont val="Noto Sans CJK SC"/>
        <family val="2"/>
      </rPr>
      <t xml:space="preserve">규제 합리화를 통해 혁신을 촉진하는 </t>
    </r>
    <r>
      <rPr>
        <sz val="11"/>
        <color theme="1"/>
        <rFont val="맑은 고딕"/>
        <family val="2"/>
        <charset val="1"/>
      </rPr>
      <t xml:space="preserve">AI </t>
    </r>
    <r>
      <rPr>
        <sz val="11"/>
        <color theme="1"/>
        <rFont val="Noto Sans CJK SC"/>
        <family val="2"/>
      </rPr>
      <t xml:space="preserve">산업생태계 조성</t>
    </r>
  </si>
  <si>
    <t xml:space="preserve">33-1</t>
  </si>
  <si>
    <r>
      <rPr>
        <sz val="11"/>
        <color theme="1"/>
        <rFont val="맑은 고딕"/>
        <family val="2"/>
        <charset val="1"/>
      </rPr>
      <t xml:space="preserve">AI </t>
    </r>
    <r>
      <rPr>
        <sz val="11"/>
        <color theme="1"/>
        <rFont val="Noto Sans CJK SC"/>
        <family val="2"/>
      </rPr>
      <t xml:space="preserve">관련 법규</t>
    </r>
    <r>
      <rPr>
        <sz val="11"/>
        <color theme="1"/>
        <rFont val="맑은 고딕"/>
        <family val="2"/>
        <charset val="1"/>
      </rPr>
      <t xml:space="preserve">·</t>
    </r>
    <r>
      <rPr>
        <sz val="11"/>
        <color theme="1"/>
        <rFont val="Noto Sans CJK SC"/>
        <family val="2"/>
      </rPr>
      <t xml:space="preserve">규제 분석 및 규제 개선</t>
    </r>
  </si>
  <si>
    <t xml:space="preserve">국조실은 AI 기술 발전의 장애요인에 기반하여 관련 법규와 지침, 규제가 기업 활동에 미치는 영향을 분석하고, 부처 간 중복 규제를 발굴하여 제도 일원화를 검토하며, AI 관련 세부 규제 개선 과제를 지속적으로 도출 후 과제별 담당 부처와 기관을 지정하여 이를 해소한다.</t>
  </si>
  <si>
    <t xml:space="preserve">국조실</t>
  </si>
  <si>
    <t xml:space="preserve">33-2</t>
  </si>
  <si>
    <r>
      <rPr>
        <sz val="11"/>
        <color theme="1"/>
        <rFont val="맑은 고딕"/>
        <family val="2"/>
        <charset val="1"/>
      </rPr>
      <t xml:space="preserve">AI </t>
    </r>
    <r>
      <rPr>
        <sz val="11"/>
        <color theme="1"/>
        <rFont val="Noto Sans CJK SC"/>
        <family val="2"/>
      </rPr>
      <t xml:space="preserve">규제혁신 로드맵 모니터링 및 추가 개선</t>
    </r>
  </si>
  <si>
    <t xml:space="preserve">국조실은 ’25년 4분기에 수립된 ｢AI 규제혁신 로드맵｣의 개선 효과를 주기적으로 평가하는 모니터링 체계를 구축하고, 그 결과를 바탕으로 AI 혁신 스타트업의 시장 진입을 가로막는 낡은 규제를 선별 완화하고, 중소기업의 기술혁신과 비즈니스 고도화 촉진을 위한 공공 AI 클라우드 인프라 개방 등을 포함하여 AI 관련 규제를 네거티브 방식으로 전환하는 등 추가 개선 과제를 지속 발굴·검토한다.</t>
  </si>
  <si>
    <r>
      <rPr>
        <sz val="11"/>
        <color theme="1"/>
        <rFont val="맑은 고딕"/>
        <family val="2"/>
        <charset val="1"/>
      </rPr>
      <t xml:space="preserve">34 </t>
    </r>
    <r>
      <rPr>
        <sz val="11"/>
        <color theme="1"/>
        <rFont val="Noto Sans CJK SC"/>
        <family val="2"/>
      </rPr>
      <t xml:space="preserve">국가 </t>
    </r>
    <r>
      <rPr>
        <sz val="11"/>
        <color theme="1"/>
        <rFont val="맑은 고딕"/>
        <family val="2"/>
        <charset val="1"/>
      </rPr>
      <t xml:space="preserve">AI </t>
    </r>
    <r>
      <rPr>
        <sz val="11"/>
        <color theme="1"/>
        <rFont val="Noto Sans CJK SC"/>
        <family val="2"/>
      </rPr>
      <t xml:space="preserve">대전환을 뒷받침하는 </t>
    </r>
    <r>
      <rPr>
        <sz val="11"/>
        <color theme="1"/>
        <rFont val="맑은 고딕"/>
        <family val="2"/>
        <charset val="1"/>
      </rPr>
      <t xml:space="preserve">AI </t>
    </r>
    <r>
      <rPr>
        <sz val="11"/>
        <color theme="1"/>
        <rFont val="Noto Sans CJK SC"/>
        <family val="2"/>
      </rPr>
      <t xml:space="preserve">법제 환경 조성</t>
    </r>
  </si>
  <si>
    <t xml:space="preserve">34-1</t>
  </si>
  <si>
    <r>
      <rPr>
        <sz val="11"/>
        <color theme="1"/>
        <rFont val="맑은 고딕"/>
        <family val="2"/>
        <charset val="1"/>
      </rPr>
      <t xml:space="preserve">AI</t>
    </r>
    <r>
      <rPr>
        <sz val="11"/>
        <color theme="1"/>
        <rFont val="Noto Sans CJK SC"/>
        <family val="2"/>
      </rPr>
      <t xml:space="preserve">기본법 하위법령 및 가이드라인 보완</t>
    </r>
  </si>
  <si>
    <t xml:space="preserve">과기정통부는 국가AI전략위와 협의하여 AI기본법 하위법령 및 가이드라인을 보완한다.</t>
  </si>
  <si>
    <t xml:space="preserve">34-2</t>
  </si>
  <si>
    <r>
      <rPr>
        <sz val="11"/>
        <color theme="1"/>
        <rFont val="맑은 고딕"/>
        <family val="2"/>
        <charset val="1"/>
      </rPr>
      <t xml:space="preserve">AI</t>
    </r>
    <r>
      <rPr>
        <sz val="11"/>
        <color theme="1"/>
        <rFont val="Noto Sans CJK SC"/>
        <family val="2"/>
      </rPr>
      <t xml:space="preserve">기본법 개정 협의체 구성 및 개정안 준비</t>
    </r>
  </si>
  <si>
    <t xml:space="preserve">과기정통부는 글로벌 스탠다드에 맞추어 AI기본법상 규제 조항을 개선하기 위한 ‘AI기본법 개정 협의체’를 ’26년 상반기까지 국가AI전략위와 협의하여 구성하고, 이를 통해 개정안을 준비하여 국회와 협의한다.</t>
  </si>
  <si>
    <t xml:space="preserve">34-3</t>
  </si>
  <si>
    <r>
      <rPr>
        <sz val="11"/>
        <color theme="1"/>
        <rFont val="맑은 고딕"/>
        <family val="2"/>
        <charset val="1"/>
      </rPr>
      <t xml:space="preserve">AI </t>
    </r>
    <r>
      <rPr>
        <sz val="11"/>
        <color theme="1"/>
        <rFont val="Noto Sans CJK SC"/>
        <family val="2"/>
      </rPr>
      <t xml:space="preserve">법</t>
    </r>
    <r>
      <rPr>
        <sz val="11"/>
        <color theme="1"/>
        <rFont val="맑은 고딕"/>
        <family val="2"/>
        <charset val="1"/>
      </rPr>
      <t xml:space="preserve">·</t>
    </r>
    <r>
      <rPr>
        <sz val="11"/>
        <color theme="1"/>
        <rFont val="Noto Sans CJK SC"/>
        <family val="2"/>
      </rPr>
      <t xml:space="preserve">제도 협의체 신설 및 정례 운영</t>
    </r>
  </si>
  <si>
    <t xml:space="preserve">법률TF</t>
  </si>
  <si>
    <t xml:space="preserve">국가AI전략위는 법제처, 국조실, 과기정통부와 협력하여 ‘AI 법·제도 협의체’를 ’26년 1분기까지 신설하여 정례 운영하고, 동 협의체를 통해 ①범정부적 관점에서 부처별 AI 관련 법령 제·개정 우선순위 검토, 법령 간 중복·충돌 방지, AI 개발 현장 목소리의 지속적 청취 등을 바탕으로 일관적·체계적인 입법 방향을 제시하며, ②고영향 AI 해당 분야의 소관 부처들에 AI 전환에 맞춘 소관 법령의 정비를 독려하고, 완료 시 과기정통부는 AI기본법 시행령 [별표1] 추가 검토 등을 통해 중복규제를 해소한다.</t>
  </si>
  <si>
    <t xml:space="preserve">과기정통부, 국조실, 법제처</t>
  </si>
  <si>
    <t xml:space="preserve">총괄전략팀</t>
  </si>
  <si>
    <r>
      <rPr>
        <sz val="11"/>
        <color theme="1"/>
        <rFont val="맑은 고딕"/>
        <family val="2"/>
        <charset val="1"/>
      </rPr>
      <t xml:space="preserve">35 AI </t>
    </r>
    <r>
      <rPr>
        <sz val="11"/>
        <color theme="1"/>
        <rFont val="Noto Sans CJK SC"/>
        <family val="2"/>
      </rPr>
      <t xml:space="preserve">스타트업</t>
    </r>
    <r>
      <rPr>
        <sz val="11"/>
        <color theme="1"/>
        <rFont val="맑은 고딕"/>
        <family val="2"/>
        <charset val="1"/>
      </rPr>
      <t xml:space="preserve">·</t>
    </r>
    <r>
      <rPr>
        <sz val="11"/>
        <color theme="1"/>
        <rFont val="Noto Sans CJK SC"/>
        <family val="2"/>
      </rPr>
      <t xml:space="preserve">중소기업 공정 성장</t>
    </r>
    <r>
      <rPr>
        <sz val="11"/>
        <color theme="1"/>
        <rFont val="맑은 고딕"/>
        <family val="2"/>
        <charset val="1"/>
      </rPr>
      <t xml:space="preserve">·</t>
    </r>
    <r>
      <rPr>
        <sz val="11"/>
        <color theme="1"/>
        <rFont val="Noto Sans CJK SC"/>
        <family val="2"/>
      </rPr>
      <t xml:space="preserve">경쟁 생태계 조성</t>
    </r>
  </si>
  <si>
    <t xml:space="preserve">35-1</t>
  </si>
  <si>
    <t xml:space="preserve">데이터·AI 기반 불공정행위 감시 및 조치 강화</t>
  </si>
  <si>
    <t xml:space="preserve">공정위는 데이터, 알고리즘 등을 이용한 불공정행위에 대한 감시를 강화하고 위법성이 인정되면 엄정 조치한다.</t>
  </si>
  <si>
    <t xml:space="preserve">공정위</t>
  </si>
  <si>
    <t xml:space="preserve">35-2</t>
  </si>
  <si>
    <r>
      <rPr>
        <sz val="11"/>
        <color theme="1"/>
        <rFont val="맑은 고딕"/>
        <family val="2"/>
        <charset val="1"/>
      </rPr>
      <t xml:space="preserve">AI </t>
    </r>
    <r>
      <rPr>
        <sz val="11"/>
        <color theme="1"/>
        <rFont val="Noto Sans CJK SC"/>
        <family val="2"/>
      </rPr>
      <t xml:space="preserve">서비스 시장 경쟁저해 요인 분석 및 </t>
    </r>
    <r>
      <rPr>
        <sz val="11"/>
        <color theme="1"/>
        <rFont val="맑은 고딕"/>
        <family val="2"/>
        <charset val="1"/>
      </rPr>
      <t xml:space="preserve">AI </t>
    </r>
    <r>
      <rPr>
        <sz val="11"/>
        <color theme="1"/>
        <rFont val="Noto Sans CJK SC"/>
        <family val="2"/>
      </rPr>
      <t xml:space="preserve">기술 탈취 피해구제 제도 개선</t>
    </r>
  </si>
  <si>
    <t xml:space="preserve">또한, ’26년 4분기까지 AI 서비스를 제공하는 국내·외 사업자 대상 실태조사, 심층 인터뷰 및 전문가 간담회 등을 통해 빠르게 변화하고 있는 AI 서비스 시장에서의 경쟁저해 요인 등을 심도 있게 분석하고, AI 기술 등 기술탈취로 인한 손해배상을 보다 쉽게 받을 수 있도록 한국형 증거개시제도, 공정위 자료제출 의무를 도입하고, 입증책임을 전환한다.</t>
  </si>
  <si>
    <t xml:space="preserve">35-3</t>
  </si>
  <si>
    <r>
      <rPr>
        <sz val="11"/>
        <color theme="1"/>
        <rFont val="맑은 고딕"/>
        <family val="2"/>
        <charset val="1"/>
      </rPr>
      <t xml:space="preserve">AI </t>
    </r>
    <r>
      <rPr>
        <sz val="11"/>
        <color theme="1"/>
        <rFont val="Noto Sans CJK SC"/>
        <family val="2"/>
      </rPr>
      <t xml:space="preserve">기반 하도급계약 공정화 지원 </t>
    </r>
  </si>
  <si>
    <t xml:space="preserve">아울러, 공정위는 ’26년 4분기까지 ‘하도급계약 공정화 지원 AI 플랫폼’을 구축해 하도급계약서 초안 작성과 불공정 조항 탐지를 지원하는 등 중소기업이 AI를 활용하여 공정한 계약을 체결할 수 있도록 지원한다.</t>
  </si>
  <si>
    <t xml:space="preserve">전략분야 6) 산업 AX</t>
  </si>
  <si>
    <r>
      <rPr>
        <sz val="11"/>
        <color theme="1"/>
        <rFont val="맑은 고딕"/>
        <family val="2"/>
        <charset val="1"/>
      </rPr>
      <t xml:space="preserve">36 </t>
    </r>
    <r>
      <rPr>
        <sz val="11"/>
        <color theme="1"/>
        <rFont val="Noto Sans CJK SC"/>
        <family val="2"/>
      </rPr>
      <t xml:space="preserve">산업별 </t>
    </r>
    <r>
      <rPr>
        <sz val="11"/>
        <color theme="1"/>
        <rFont val="맑은 고딕"/>
        <family val="2"/>
        <charset val="1"/>
      </rPr>
      <t xml:space="preserve">AI </t>
    </r>
    <r>
      <rPr>
        <sz val="11"/>
        <color theme="1"/>
        <rFont val="Noto Sans CJK SC"/>
        <family val="2"/>
      </rPr>
      <t xml:space="preserve">에이전트 개발 및 기업 수요 발굴</t>
    </r>
  </si>
  <si>
    <t xml:space="preserve">36-1</t>
  </si>
  <si>
    <t xml:space="preserve">산업별 AI 에이전트 지속 개발·보급</t>
  </si>
  <si>
    <t xml:space="preserve">산업부와 과기정통부는 앞에서 기술한 분야별 특화 파운데이션 모델을 기반으로, 단순 반복 업무의 자동화를 넘어 전문적 의사결정을 지원하고 새로운 부가가치를 창출하는 AI 에이전트를 통해 기업의 생산성과 경쟁력을 혁신적으로 높이기 위해, 복지부·금융위·국토부와 협력하여 복잡한 산업 문제를 자율적으로 해결하고 인간과 상호작용하는 ‘산업 특화 AI 에이전트’의 개발 및 보급을 지속적으로 추진한다.</t>
  </si>
  <si>
    <t xml:space="preserve">산업부, 과기정통부</t>
  </si>
  <si>
    <t xml:space="preserve">국토부, 금융위, 복지부</t>
  </si>
  <si>
    <t xml:space="preserve">36-2</t>
  </si>
  <si>
    <t xml:space="preserve">산업별 AI 에이전트 개발·보급 프로젝트 추진</t>
  </si>
  <si>
    <t xml:space="preserve">산업부와 과기정통부는 중기부, 복지부, 금융위, 국토부와 협력하여 주요 산업별 ｢AI 에이전트 개발·보급 프로젝트｣를 ’26년 2분기부터 추진하되, 동 프로젝트에는 ①제조, 의료·바이오, 금융, 모빌리티 등 핵심 산업 분야 선정, ②산업별 AI 적용 가능 영역을 도출한 ‘산업별 AI 수요지도’ 작성, ③산업별 AI 에이전트 활용에 적합한 국가 AI 컴퓨팅 자원 제공 등의 내용이 포함되어야 한다.</t>
  </si>
  <si>
    <t xml:space="preserve">국토부, 금융위, 복지부, 중기부</t>
  </si>
  <si>
    <t xml:space="preserve">36-3</t>
  </si>
  <si>
    <t xml:space="preserve">산업 데이터 활용센터 구축 및 운영</t>
  </si>
  <si>
    <t xml:space="preserve">산업부는 개발된 AI 에이전트의 성능 고도화를 위해 과기정통부, 중기부, 복지부, 금융위, 국토부와 협력하여 산업 현장의 실제 데이터를 활용할 수 있는 ‘산업 데이터 활용센터’ 구축 준비를 ’26년 4분기까지 완료하고, ’27년부터 AI 에이전트 개발기업에 데이터 접근 환경을 제공한다.</t>
  </si>
  <si>
    <t xml:space="preserve">과기정통부, 국토부, 금융위, 복지부, 중기부</t>
  </si>
  <si>
    <t xml:space="preserve">36-4</t>
  </si>
  <si>
    <t xml:space="preserve">민간 AI 에이전트 마켓플레이스와 연계한 AI 에이전트 공급 생태계 강화</t>
  </si>
  <si>
    <t xml:space="preserve">산업부와 과기정통부, 중기부는 ’27년부터 민간 AI 에이전트 마켓플레이스와 연계해 AI 에이전트 공급 생태계를 강화하고, 플랫폼에서 생성되는 활용 데이터를 분석해 기술 고도화와 신규 서비스 개발로 이어지는 선순환 구조가 정착되도록 지속 지원한다</t>
  </si>
  <si>
    <t xml:space="preserve">산업부, 과기정통부, 중기부</t>
  </si>
  <si>
    <r>
      <rPr>
        <sz val="11"/>
        <color theme="1"/>
        <rFont val="맑은 고딕"/>
        <family val="2"/>
        <charset val="1"/>
      </rPr>
      <t xml:space="preserve">37 ’30</t>
    </r>
    <r>
      <rPr>
        <sz val="11"/>
        <color theme="1"/>
        <rFont val="Noto Sans CJK SC"/>
        <family val="2"/>
      </rPr>
      <t xml:space="preserve">년 </t>
    </r>
    <r>
      <rPr>
        <sz val="11"/>
        <color theme="1"/>
        <rFont val="맑은 고딕"/>
        <family val="2"/>
        <charset val="1"/>
      </rPr>
      <t xml:space="preserve">K-</t>
    </r>
    <r>
      <rPr>
        <sz val="11"/>
        <color theme="1"/>
        <rFont val="Noto Sans CJK SC"/>
        <family val="2"/>
      </rPr>
      <t xml:space="preserve">제조업 글로벌 </t>
    </r>
    <r>
      <rPr>
        <sz val="11"/>
        <color theme="1"/>
        <rFont val="맑은 고딕"/>
        <family val="2"/>
        <charset val="1"/>
      </rPr>
      <t xml:space="preserve">1</t>
    </r>
    <r>
      <rPr>
        <sz val="11"/>
        <color theme="1"/>
        <rFont val="Noto Sans CJK SC"/>
        <family val="2"/>
      </rPr>
      <t xml:space="preserve">위 달성을 위한 ｢제조 </t>
    </r>
    <r>
      <rPr>
        <sz val="11"/>
        <color theme="1"/>
        <rFont val="맑은 고딕"/>
        <family val="2"/>
        <charset val="1"/>
      </rPr>
      <t xml:space="preserve">AI 2030 (</t>
    </r>
    <r>
      <rPr>
        <sz val="11"/>
        <color theme="1"/>
        <rFont val="Noto Sans CJK SC"/>
        <family val="2"/>
      </rPr>
      <t xml:space="preserve">가칭</t>
    </r>
    <r>
      <rPr>
        <sz val="11"/>
        <color theme="1"/>
        <rFont val="맑은 고딕"/>
        <family val="2"/>
        <charset val="1"/>
      </rPr>
      <t xml:space="preserve">)</t>
    </r>
    <r>
      <rPr>
        <sz val="11"/>
        <color theme="1"/>
        <rFont val="Noto Sans CJK SC"/>
        <family val="2"/>
      </rPr>
      <t xml:space="preserve">｣ 전략 수립</t>
    </r>
  </si>
  <si>
    <t xml:space="preserve">37-1</t>
  </si>
  <si>
    <t xml:space="preserve">제조 AI 2030 전략 수립</t>
  </si>
  <si>
    <t xml:space="preserve">산업부는 AI 기반 생산성 혁신을 통해 자율 제조 보급률 40%를 달성함으로써 ’30년까지 국내 제조업을 글로벌 제조업 1위로 도약시키는 것을 목표로 과기정통부, 중기부와 협력하여 ｢제조 AI 2030 전략｣을 ’26년 1분기까지 수립하되, 동 전략에는 ①제조데이터의 공동 활용을 촉진하기 위한 법·제도 정비에의 착수, ②로봇·자동차·전자·기계 등 제조 산업별 데이터 확보 및 표준화, ③AI 파운데이션 모델 기반의 생산·공정 효율화, ④AI 팩토리 수출산업화 등을 위한 서비스 혁신과 해외 진출 지원 등의 내용을 포함한다.</t>
  </si>
  <si>
    <t xml:space="preserve">37-2</t>
  </si>
  <si>
    <r>
      <rPr>
        <sz val="11"/>
        <color theme="1"/>
        <rFont val="맑은 고딕"/>
        <family val="2"/>
        <charset val="1"/>
      </rPr>
      <t xml:space="preserve">AI </t>
    </r>
    <r>
      <rPr>
        <sz val="11"/>
        <color theme="1"/>
        <rFont val="Noto Sans CJK SC"/>
        <family val="2"/>
      </rPr>
      <t xml:space="preserve">팩토리 수출산업화</t>
    </r>
  </si>
  <si>
    <t xml:space="preserve">산업부는 과기정통부, 중기부와 협력하여 풀스택 AI 구현, 해외 공장 원격제어 및 관리 기술개발, AI 로봇·팩토리간 연계 등의 방안을 포함한 AI 팩토리 수출산업화 방안들을 마련하여 이를 ｢제조 AI 2030 전략｣에 반영하며, ’27년부터 AI 팩토리 수출과 관련된 시범 사업에 착수한다.</t>
  </si>
  <si>
    <t xml:space="preserve">37-3</t>
  </si>
  <si>
    <t xml:space="preserve">자율 제조 요소기술 보급 지원</t>
  </si>
  <si>
    <t xml:space="preserve">산업부는 ‘산업별 수요 기반 AI 파운데이션 모델’과 연계해 개발된 AI 모델의 테스트베드 구축을 위해 ｢자율 제조 요소기술 보급 지원사업 계획｣을 수립하고, ’26년 2분기에는 자율 제조 테스트베드 3개소 구축에 착수하되, 해당 테스트베드에는 HW·SW·인프라의 통합 설계를 기반으로 제품설계–시제품 생산–운영–유통 등 제조 전 단계에 걸친 풀스택 AI 구현이 포함된다.</t>
  </si>
  <si>
    <t xml:space="preserve">37-4</t>
  </si>
  <si>
    <t xml:space="preserve">국내 제조 중소·중견기업의 DX 전환 촉진</t>
  </si>
  <si>
    <t xml:space="preserve">중기부는 산업부와 협력하여 국내 제조 중소·중견기업의 AI 생태계 기반 강화를 위해 기업의 DX 전환을 촉진하는 지원체계를 ’26년 4분기까지 구축해야 한다.</t>
  </si>
  <si>
    <t xml:space="preserve">37-5</t>
  </si>
  <si>
    <t xml:space="preserve">제조·피지컬AI 협업체 간 유기적 협력</t>
  </si>
  <si>
    <t xml:space="preserve">산업부, 과기정통부, 중기부, 국토부는 우리 제조기업과 AI 기업이 신기술의 신속한 적용과 검증을 통해 AI 기반 생산성 향상을 이루고 국내 제조 생태계를 강화할 수 있도록, M.AX Alliance(Manufacturing AX Alliance), 피지컬 AI Global Alliance, K-휴머노이드 연합, K-교통 얼라이언스 등 협업체들이 유기적으로 협력하며 정합성 있게 사업을 추진할 수 있는 방안을 ’26년 1분기까지 마련하고 그 결과를 ’27년 사업 예산에 반영한다.</t>
  </si>
  <si>
    <t xml:space="preserve">산업부, 과기정통부, 중기부, 국토부</t>
  </si>
  <si>
    <r>
      <rPr>
        <sz val="11"/>
        <color theme="1"/>
        <rFont val="맑은 고딕"/>
        <family val="2"/>
        <charset val="1"/>
      </rPr>
      <t xml:space="preserve">38 </t>
    </r>
    <r>
      <rPr>
        <sz val="11"/>
        <color theme="1"/>
        <rFont val="Noto Sans CJK SC"/>
        <family val="2"/>
      </rPr>
      <t xml:space="preserve">자율주행 차량 중심 교통</t>
    </r>
    <r>
      <rPr>
        <sz val="11"/>
        <color theme="1"/>
        <rFont val="맑은 고딕"/>
        <family val="2"/>
        <charset val="1"/>
      </rPr>
      <t xml:space="preserve">·</t>
    </r>
    <r>
      <rPr>
        <sz val="11"/>
        <color theme="1"/>
        <rFont val="Noto Sans CJK SC"/>
        <family val="2"/>
      </rPr>
      <t xml:space="preserve">물류 </t>
    </r>
    <r>
      <rPr>
        <sz val="11"/>
        <color theme="1"/>
        <rFont val="맑은 고딕"/>
        <family val="2"/>
        <charset val="1"/>
      </rPr>
      <t xml:space="preserve">AI </t>
    </r>
    <r>
      <rPr>
        <sz val="11"/>
        <color theme="1"/>
        <rFont val="Noto Sans CJK SC"/>
        <family val="2"/>
      </rPr>
      <t xml:space="preserve">대전환</t>
    </r>
  </si>
  <si>
    <t xml:space="preserve">38-1</t>
  </si>
  <si>
    <t xml:space="preserve">자율주행 중심 교통·물류 AI 대전환</t>
  </si>
  <si>
    <t xml:space="preserve">국토부는 산업부, 과기정통부, 법무부 등 관계 부처와 협력하여 AI·자율주행 기술을 도로·교통·물류 인프라 전반에 융합해 국민의 이동 경험을 혁신하기 위한 ｢자율주행 중심 교통·물류 AI 대전환 계획｣을 ’26년 3분기까지 마련하며, 이를 통해 ’27년까지 레벨 4 자율주행 상용화 기반을 구축해 R&amp;D 성과가 실제 교통·물류 분야의 AX로 연결되도록 해야 한다.</t>
  </si>
  <si>
    <t xml:space="preserve">과기정통부, 법무부, 산업부</t>
  </si>
  <si>
    <t xml:space="preserve">38-2</t>
  </si>
  <si>
    <t xml:space="preserve">자율주행 기술 및 교통·물류 실증</t>
  </si>
  <si>
    <t xml:space="preserve">국토부는 해당 계획이 교통·물류 분야의 실질적 AI 전환으로 이어지도록 유형별 시범도시를 선정해 자율주행 기술과 교통·물류 서비스를 통합 검증하는 실증사업을 ’26년 3분기부터 ’30년까지 로드맵에 따라 단계적으로 추진하는 한편, 도시 규모의 실증지역을 규제프리존으로 운영하여 데이터 수집과 기술 경쟁력 확보를 지속적으로 지원한다.</t>
  </si>
  <si>
    <t xml:space="preserve">38-3</t>
  </si>
  <si>
    <t xml:space="preserve">자율주행 중심 교통·물류 AI 대전환 계획 마련</t>
  </si>
  <si>
    <t xml:space="preserve">국토부는 동 계획에 ① 관련 데이터의 통합적 적재, ②공공과 민간사업자의 역할을 반영한 통합 관리 체계와 거버넌스 마련, ③AI 모델 발굴 기반 조성, ④데이터 기반 실증과 성과 측정, ⑤차량·인프라·물류 체계가 상호 협력적으로 작동하는 자율주행 기반 통합 교통 시스템 구축 및 단계별 달성 로드맵, ⑥ AI 드론 상용화, ⑦ 자율주행 및 AI 드론 관련 핵심 규제 혁파, ⑧ 도시·교통 분야별 기업인으로 구성된 AI 협의체 구성 등의 내용을 포함하여야 한다.</t>
  </si>
  <si>
    <t xml:space="preserve">38-4</t>
  </si>
  <si>
    <t xml:space="preserve">자율주행 상용화 촉진</t>
  </si>
  <si>
    <t xml:space="preserve">국토부는 자율주행 상용화를 촉진하기 위해 ①인프라·차량·자율주행 소프트웨어·운영·서비스 소프트웨어·관제·시뮬레이션을 하나의 교통서비스로 통합하고, ②각 기술의 표준 프로토콜을 정의하며, ③유연한 확장성을 기반으로 실증 과정에서 성과를 검증할 수 있는 신규 과제를 설계하는 한편, ④상용화를 위한 규제 정비와 안전기준·기술 신뢰수준·정책 준수 여부를 확인하는 운영체계를 마련하고, ⑤단계별 시나리오 수립과 기술개발을 병행하여 AX 상용서비스 인프라를 구축한다.</t>
  </si>
  <si>
    <t xml:space="preserve">38-5</t>
  </si>
  <si>
    <t xml:space="preserve">자율주행 핵심기술 개발</t>
  </si>
  <si>
    <t xml:space="preserve">산업부와 과기정통부, 국토부는 E2E 자율주행 모델, SDV OS 및 고성능 차량용 반도체, AI 기반 시뮬레이션 검증 기술 등 핵심기술 개발을 ’30년까지 지원하고, ’26년 1분기부터 자율주행차 M.AX 얼라이언스, K-교통 얼라이언스 등 민간 협업체를 통해 기술과 데이터를 함께 활용하고 공동 실증을 추진함으로써 기업 간 협력 생태계를 조성하며, ’27년 4분기까지 민관 공동으로 SDV 산업 표준을 마련한다.</t>
  </si>
  <si>
    <t xml:space="preserve">산업부, 과기정통부, 국토부</t>
  </si>
  <si>
    <r>
      <rPr>
        <sz val="11"/>
        <color theme="1"/>
        <rFont val="맑은 고딕"/>
        <family val="2"/>
        <charset val="1"/>
      </rPr>
      <t xml:space="preserve">39 ’30</t>
    </r>
    <r>
      <rPr>
        <sz val="11"/>
        <color theme="1"/>
        <rFont val="Noto Sans CJK SC"/>
        <family val="2"/>
      </rPr>
      <t xml:space="preserve">년 </t>
    </r>
    <r>
      <rPr>
        <sz val="11"/>
        <color theme="1"/>
        <rFont val="맑은 고딕"/>
        <family val="2"/>
        <charset val="1"/>
      </rPr>
      <t xml:space="preserve">AI </t>
    </r>
    <r>
      <rPr>
        <sz val="11"/>
        <color theme="1"/>
        <rFont val="Noto Sans CJK SC"/>
        <family val="2"/>
      </rPr>
      <t xml:space="preserve">기반 글로벌 바이오</t>
    </r>
    <r>
      <rPr>
        <sz val="11"/>
        <color theme="1"/>
        <rFont val="맑은 고딕"/>
        <family val="2"/>
        <charset val="1"/>
      </rPr>
      <t xml:space="preserve">·</t>
    </r>
    <r>
      <rPr>
        <sz val="11"/>
        <color theme="1"/>
        <rFont val="Noto Sans CJK SC"/>
        <family val="2"/>
      </rPr>
      <t xml:space="preserve">헬스 </t>
    </r>
    <r>
      <rPr>
        <sz val="11"/>
        <color theme="1"/>
        <rFont val="맑은 고딕"/>
        <family val="2"/>
        <charset val="1"/>
      </rPr>
      <t xml:space="preserve">5</t>
    </r>
    <r>
      <rPr>
        <sz val="11"/>
        <color theme="1"/>
        <rFont val="Noto Sans CJK SC"/>
        <family val="2"/>
      </rPr>
      <t xml:space="preserve">대 강국 도약</t>
    </r>
  </si>
  <si>
    <t xml:space="preserve">39-1</t>
  </si>
  <si>
    <r>
      <rPr>
        <sz val="11"/>
        <color theme="1"/>
        <rFont val="맑은 고딕"/>
        <family val="2"/>
        <charset val="1"/>
      </rPr>
      <t xml:space="preserve">2030 AI </t>
    </r>
    <r>
      <rPr>
        <sz val="11"/>
        <color theme="1"/>
        <rFont val="Noto Sans CJK SC"/>
        <family val="2"/>
      </rPr>
      <t xml:space="preserve">기반 글로벌 바이오</t>
    </r>
    <r>
      <rPr>
        <sz val="11"/>
        <color theme="1"/>
        <rFont val="맑은 고딕"/>
        <family val="2"/>
        <charset val="1"/>
      </rPr>
      <t xml:space="preserve">·</t>
    </r>
    <r>
      <rPr>
        <sz val="11"/>
        <color theme="1"/>
        <rFont val="Noto Sans CJK SC"/>
        <family val="2"/>
      </rPr>
      <t xml:space="preserve">헬스 </t>
    </r>
    <r>
      <rPr>
        <sz val="11"/>
        <color theme="1"/>
        <rFont val="맑은 고딕"/>
        <family val="2"/>
        <charset val="1"/>
      </rPr>
      <t xml:space="preserve">5</t>
    </r>
    <r>
      <rPr>
        <sz val="11"/>
        <color theme="1"/>
        <rFont val="Noto Sans CJK SC"/>
        <family val="2"/>
      </rPr>
      <t xml:space="preserve">대 강국 도약계획 수립</t>
    </r>
  </si>
  <si>
    <t xml:space="preserve">복지부, 과기정통부, 산업부는 농식품부, 식약처와 협력하여 AI시대에 부합하는 바이오·헬스 데이터 구축과 데이터 기반 바이오·헬스 AI 개발, 바이오·헬스 산업 AX 혁신을 추진하기 위한 ｢2030 AI 기반 글로벌 바이오·헬스 5대 강국 도약 계획｣을 ’26년 1분기까지 수립한다.</t>
  </si>
  <si>
    <t xml:space="preserve">복지부, 과기정통부, 산업부</t>
  </si>
  <si>
    <r>
      <rPr>
        <sz val="11"/>
        <color theme="1"/>
        <rFont val="맑은 고딕"/>
        <family val="2"/>
        <charset val="1"/>
      </rPr>
      <t xml:space="preserve">3. </t>
    </r>
    <r>
      <rPr>
        <sz val="11"/>
        <color theme="1"/>
        <rFont val="Noto Sans CJK SC"/>
        <family val="2"/>
      </rPr>
      <t xml:space="preserve">글로벌 </t>
    </r>
    <r>
      <rPr>
        <sz val="11"/>
        <color theme="1"/>
        <rFont val="맑은 고딕"/>
        <family val="2"/>
        <charset val="1"/>
      </rPr>
      <t xml:space="preserve">AI </t>
    </r>
    <r>
      <rPr>
        <sz val="11"/>
        <color theme="1"/>
        <rFont val="Noto Sans CJK SC"/>
        <family val="2"/>
      </rPr>
      <t xml:space="preserve">기본사회 기여</t>
    </r>
  </si>
  <si>
    <t xml:space="preserve">39-2</t>
  </si>
  <si>
    <t xml:space="preserve">바이오·헬스 AI 전문인력 확보</t>
  </si>
  <si>
    <t xml:space="preserve">복지부는 보건의료인·연구인력·임상전문가 등 바이오·헬스 AI 전문인력 확보를 위해, 상기 ‘2030 AI 기반 글로벌 바이오·헬스 5대 강국 도약 계획’과 연계하여 의료AI 교육과 의료기관의 AX 전환지원을 지속적으로 확대 해나간다.</t>
  </si>
  <si>
    <t xml:space="preserve">39-3</t>
  </si>
  <si>
    <r>
      <rPr>
        <sz val="11"/>
        <color theme="1"/>
        <rFont val="맑은 고딕"/>
        <family val="2"/>
        <charset val="1"/>
      </rPr>
      <t xml:space="preserve">AI-</t>
    </r>
    <r>
      <rPr>
        <sz val="11"/>
        <color theme="1"/>
        <rFont val="Noto Sans CJK SC"/>
        <family val="2"/>
      </rPr>
      <t xml:space="preserve">바이오 융합 촉진을 위한 법</t>
    </r>
    <r>
      <rPr>
        <sz val="11"/>
        <color theme="1"/>
        <rFont val="맑은 고딕"/>
        <family val="2"/>
        <charset val="1"/>
      </rPr>
      <t xml:space="preserve">·</t>
    </r>
    <r>
      <rPr>
        <sz val="11"/>
        <color theme="1"/>
        <rFont val="Noto Sans CJK SC"/>
        <family val="2"/>
      </rPr>
      <t xml:space="preserve">제도적 기반 강화</t>
    </r>
  </si>
  <si>
    <t xml:space="preserve">과기정통부, 복지부, 산업부, 개인정보위 등 관계부처는 인공지능기술의 바이오 분야의 융합을 촉진할 수 있는 법·제도적 기반을 강화하기 위해, ⌜바이오데이터 활용 및 인공지능바이오 연구개발 촉진에 관한 법률(안)⌟ 제정에 협력하고 적극 지원한다.</t>
  </si>
  <si>
    <t xml:space="preserve">개인정보위, 복지부, 산업부</t>
  </si>
  <si>
    <r>
      <rPr>
        <sz val="11"/>
        <color theme="1"/>
        <rFont val="맑은 고딕"/>
        <family val="2"/>
        <charset val="1"/>
      </rPr>
      <t xml:space="preserve">40 AI </t>
    </r>
    <r>
      <rPr>
        <sz val="11"/>
        <color theme="1"/>
        <rFont val="Noto Sans CJK SC"/>
        <family val="2"/>
      </rPr>
      <t xml:space="preserve">기반 금융산업 혁신성장과 금융산업 </t>
    </r>
    <r>
      <rPr>
        <sz val="11"/>
        <color theme="1"/>
        <rFont val="맑은 고딕"/>
        <family val="2"/>
        <charset val="1"/>
      </rPr>
      <t xml:space="preserve">AI </t>
    </r>
    <r>
      <rPr>
        <sz val="11"/>
        <color theme="1"/>
        <rFont val="Noto Sans CJK SC"/>
        <family val="2"/>
      </rPr>
      <t xml:space="preserve">대전환</t>
    </r>
  </si>
  <si>
    <t xml:space="preserve">40-1</t>
  </si>
  <si>
    <t xml:space="preserve">금융 데이터 허브 조성 및 금융 AI 통합 인프라 구축</t>
  </si>
  <si>
    <t xml:space="preserve">금융위는 과기정통부, 기획예산처와 협력하여 ’26년 4분기까지 금융 데이터 허브를 조성해 공공·민간 금융 데이터의 연계와 표준화를 추진하고, 이를 기반으로 ’28년 4분기까지 금융산업의 AI 혁신을 뒷받침할 데이터·컴퓨팅·플랫폼 인프라를 통합적으로 구축하며, 동시에 GPU 기반 금융 AI 클라우드를 마련해 금융사가 활용할 AI 모델 학습·검증 환경과 데이터 생태계를 조성하며 데이터 독점 및 시장 지배력이 강화 되지 않도록 명확한 접근·활용 기준을 제공한다.</t>
  </si>
  <si>
    <t xml:space="preserve">40-2</t>
  </si>
  <si>
    <t xml:space="preserve">금융권 AI 활용 활성화 지원</t>
  </si>
  <si>
    <t xml:space="preserve">금융위는 금융산업 전반의 AI 내재화를 통해 금융 AI 서비스 혁신을 위해 ｢금융권 AI 활용 활성화 지원 방안｣을 ’26년 2분기까지 수립하며, 동 지원 방안에는 ①AI 혁신을 유도하기 위한 ‘망 분리’ 등 규제 유연화, ②AI를 활용한 민간 금융기관의 혁신 역량 강화, ③AI기반의 금융 신산업 육성 등의 내용과 함께, 대형금융사, 빅테크에 대한 특례로 변질되지 않도록 하기 위한 조건이 포함되어야 한다.</t>
  </si>
  <si>
    <t xml:space="preserve">40-3</t>
  </si>
  <si>
    <t xml:space="preserve">금융 분야 AI 활용 리스크 관리 및 신뢰 확립</t>
  </si>
  <si>
    <t xml:space="preserve">금융위는 AI 활용 확대에 따른 소비자 피해와 시스템 리스크를 관리하고 금융 AI 거버넌스와 신뢰 체계를 확립할 수 있도록 ①금융기관의 공정성·투명성·책임성 확보와 ｢인공지능기본법｣ 준수를 위한 ｢금융산업 AI 가이드라인｣을 ’26년 1분기까지 마련하고, ② 금융 분야 AI 위험관리 등에 대한 상시 모니터링 체계를 ’26년 4분기까지 구축하며, ③ AI 기술 변화와 ｢인공지능기본법｣ 시행 결과 및 금융권 AI 활용 현황 등을 반영하여 ’27년 1분기까지 ｢금융산업 AI 가이드라인｣ 보완을 추진한다.</t>
  </si>
  <si>
    <r>
      <rPr>
        <sz val="11"/>
        <color theme="1"/>
        <rFont val="맑은 고딕"/>
        <family val="2"/>
        <charset val="1"/>
      </rPr>
      <t xml:space="preserve">41 </t>
    </r>
    <r>
      <rPr>
        <sz val="11"/>
        <color theme="1"/>
        <rFont val="Noto Sans CJK SC"/>
        <family val="2"/>
      </rPr>
      <t xml:space="preserve">자율운항 선박 개발과 </t>
    </r>
    <r>
      <rPr>
        <sz val="11"/>
        <color theme="1"/>
        <rFont val="맑은 고딕"/>
        <family val="2"/>
        <charset val="1"/>
      </rPr>
      <t xml:space="preserve">AI</t>
    </r>
    <r>
      <rPr>
        <sz val="11"/>
        <color theme="1"/>
        <rFont val="Noto Sans CJK SC"/>
        <family val="2"/>
      </rPr>
      <t xml:space="preserve">를 활용한 수산업</t>
    </r>
    <r>
      <rPr>
        <sz val="11"/>
        <color theme="1"/>
        <rFont val="맑은 고딕"/>
        <family val="2"/>
        <charset val="1"/>
      </rPr>
      <t xml:space="preserve">·</t>
    </r>
    <r>
      <rPr>
        <sz val="11"/>
        <color theme="1"/>
        <rFont val="Noto Sans CJK SC"/>
        <family val="2"/>
      </rPr>
      <t xml:space="preserve">해운업의 혁신성장</t>
    </r>
  </si>
  <si>
    <t xml:space="preserve">41-1</t>
  </si>
  <si>
    <t xml:space="preserve">해양수산 AX 전략 수립</t>
  </si>
  <si>
    <t xml:space="preserve">해수부는 자율운항 선박 개발, AI 기반 항만 운영, 스마트 수산 양식 등 3대 분야에 대한 ’30년까지의 핵심 목표 및 투자 규모를 담은 ｢해양수산 AX 전략｣을 ’26년 1분기까지 수립한다. 동 전략은 ①자율운항 선박 운항 데이터(기상·항로·센서·운항), 수산업 빅데이터(어획량·수온·양식 환경), 해운 물류 데이터 수집·연동을 위한 데이터 포맷과 API 표준 개발, ②각 분야별 디지털 트윈 구축 및 상호 연계 등 핵심 R&amp;D 세부 로드맵 등의 내용을 포함하며, 동 전략의 성과는 북극항로 상업 운항 개시시 기상 예측, 위험도 파악 및 최적 회피기동 등에 적용할 수 있어야 한다.</t>
  </si>
  <si>
    <t xml:space="preserve">41-2</t>
  </si>
  <si>
    <t xml:space="preserve">자율운항 선박 데이터 공유·연계·활용, 핵심기술 확보 및 실증</t>
  </si>
  <si>
    <t xml:space="preserve">산업부는 해수부와 협력해 자율운항 선박 M.AX 얼라이언스를 통한 조선·해운 데이터의 공유·연계·활용 방안을 ’26년 3분기까지 마련하고, ’26년 4분기에는 연안 선박 대상 자율운항 선박 실증사업을 착수하는 동시에 AI 기반 상황 인식, 충돌 회피 알고리즘, 원격제어 및 최적 항로 결정 등 자율운항 선박 핵심기술 확보 사업도 병행해 추진한다.</t>
  </si>
  <si>
    <t xml:space="preserve">41-3</t>
  </si>
  <si>
    <t xml:space="preserve">자율운항 선박 개발 및 항만 디지털트윈 등 실증</t>
  </si>
  <si>
    <t xml:space="preserve">해수부는 ’26년 3분기까지 자율운항 선박 개발을 위한 사업을 준비해 ’26년 4분기에 착수하고, 동시에 자율운항 선박 실증 해역 지정 및 규제특례 제도의 본격 운영을 통하여 같은 해 3분기 자율운항 기술의 실증을 지원한다. 또한, ’26년 2분기부터 AI 기반 항만 운영 기술 실증에 활용할 수 있는 디지털 트윈을 광양항 테스트베드에 구축하고, ’28년까지 테스트베드 사업을 준공 후 검증된 기술들을 진해신항에 적용·도입하여 미래 지능형 항만 구축과 기존 항만에 적용 확대를 추진한다.</t>
  </si>
  <si>
    <t xml:space="preserve">41-4</t>
  </si>
  <si>
    <t xml:space="preserve">스마트 양식 클러스터 테스트베드 구축</t>
  </si>
  <si>
    <t xml:space="preserve">해수부는 ’26년 4분기까지 ICT·데이터 기반 스마트 양식 기술 실증을 위한 스마트 양식 클러스터 테스트베드 3개소를 준공한다.</t>
  </si>
  <si>
    <r>
      <rPr>
        <sz val="11"/>
        <color theme="1"/>
        <rFont val="맑은 고딕"/>
        <family val="2"/>
        <charset val="1"/>
      </rPr>
      <t xml:space="preserve">42 AI</t>
    </r>
    <r>
      <rPr>
        <sz val="11"/>
        <color theme="1"/>
        <rFont val="Noto Sans CJK SC"/>
        <family val="2"/>
      </rPr>
      <t xml:space="preserve">시대 기후 위기 대응과 지속가능한 에너지로의 전환</t>
    </r>
  </si>
  <si>
    <t xml:space="preserve">42-1</t>
  </si>
  <si>
    <t xml:space="preserve">기후·에너지·환경 AI 전환</t>
  </si>
  <si>
    <t xml:space="preserve">기후부는 기후 위기 대응, 에너지 시스템 전환 등 국가적 난제 해결과 새로운 성장 기회 창출에 활용하기 위한 「기후·에너지·환경 AI 전환 추진전략」을 수립하여 AI를 활용한 기후재난 예측 및 대응을 체계적으로 추진한다.</t>
  </si>
  <si>
    <t xml:space="preserve">42-2</t>
  </si>
  <si>
    <t xml:space="preserve">에너지 AI 모델 개발 및 효율 최적화</t>
  </si>
  <si>
    <t xml:space="preserve">기후부는 지능형 계량기(AMI)를 단계적으로 보급하고 이를 통해 확보한 데이터를 체계적으로 처리·통합하는 인프라 구축을 검토하고, 동시에 실시간 전력 수요 예측, 재생에너지 변동성 대응, 가상발전소(VPP) 구축·운영, 피지컬 AI를 활용한 발전소·전력망 안전 관리 등을 위한 에너지 AI 모델을 개발해 국가 차원의 에너지 효율을 최적화한다.</t>
  </si>
  <si>
    <t xml:space="preserve">42-3</t>
  </si>
  <si>
    <r>
      <rPr>
        <sz val="11"/>
        <color theme="1"/>
        <rFont val="맑은 고딕"/>
        <family val="2"/>
        <charset val="1"/>
      </rPr>
      <t xml:space="preserve">AI </t>
    </r>
    <r>
      <rPr>
        <sz val="11"/>
        <color theme="1"/>
        <rFont val="Noto Sans CJK SC"/>
        <family val="2"/>
      </rPr>
      <t xml:space="preserve">기반 지능형 전력망 실증 및 </t>
    </r>
    <r>
      <rPr>
        <sz val="11"/>
        <color theme="1"/>
        <rFont val="맑은 고딕"/>
        <family val="2"/>
        <charset val="1"/>
      </rPr>
      <t xml:space="preserve">AI </t>
    </r>
    <r>
      <rPr>
        <sz val="11"/>
        <color theme="1"/>
        <rFont val="Noto Sans CJK SC"/>
        <family val="2"/>
      </rPr>
      <t xml:space="preserve">기반 에너지관리시스템</t>
    </r>
    <r>
      <rPr>
        <sz val="11"/>
        <color theme="1"/>
        <rFont val="맑은 고딕"/>
        <family val="2"/>
        <charset val="1"/>
      </rPr>
      <t xml:space="preserve">(EMS) </t>
    </r>
    <r>
      <rPr>
        <sz val="11"/>
        <color theme="1"/>
        <rFont val="Noto Sans CJK SC"/>
        <family val="2"/>
      </rPr>
      <t xml:space="preserve">도입 촉진</t>
    </r>
  </si>
  <si>
    <t xml:space="preserve">기후부는 에너지 안보와 효율성 강화를 위해 ’27년 4분기까지 AI 기반 차세대 지능형 전력망을 실증·분석하고, 공장·빌딩 등 대규모 에너지 소비시설에 AI 기반 에너지관리시스템(EMS) 도입을 촉진하며 에너지 절감 성과에 따른 인센티브를 제공한다.</t>
  </si>
  <si>
    <r>
      <rPr>
        <sz val="11"/>
        <color theme="1"/>
        <rFont val="맑은 고딕"/>
        <family val="2"/>
        <charset val="1"/>
      </rPr>
      <t xml:space="preserve">43 </t>
    </r>
    <r>
      <rPr>
        <sz val="11"/>
        <color theme="1"/>
        <rFont val="Noto Sans CJK SC"/>
        <family val="2"/>
      </rPr>
      <t xml:space="preserve">농산업의 </t>
    </r>
    <r>
      <rPr>
        <sz val="11"/>
        <color theme="1"/>
        <rFont val="맑은 고딕"/>
        <family val="2"/>
        <charset val="1"/>
      </rPr>
      <t xml:space="preserve">AI </t>
    </r>
    <r>
      <rPr>
        <sz val="11"/>
        <color theme="1"/>
        <rFont val="Noto Sans CJK SC"/>
        <family val="2"/>
      </rPr>
      <t xml:space="preserve">대전환</t>
    </r>
  </si>
  <si>
    <t xml:space="preserve">43-1</t>
  </si>
  <si>
    <r>
      <rPr>
        <sz val="11"/>
        <color theme="1"/>
        <rFont val="맑은 고딕"/>
        <family val="2"/>
        <charset val="1"/>
      </rPr>
      <t xml:space="preserve">AI </t>
    </r>
    <r>
      <rPr>
        <sz val="11"/>
        <color theme="1"/>
        <rFont val="Noto Sans CJK SC"/>
        <family val="2"/>
      </rPr>
      <t xml:space="preserve">기반 농업</t>
    </r>
    <r>
      <rPr>
        <sz val="11"/>
        <color theme="1"/>
        <rFont val="맑은 고딕"/>
        <family val="2"/>
        <charset val="1"/>
      </rPr>
      <t xml:space="preserve">·</t>
    </r>
    <r>
      <rPr>
        <sz val="11"/>
        <color theme="1"/>
        <rFont val="Noto Sans CJK SC"/>
        <family val="2"/>
      </rPr>
      <t xml:space="preserve">농촌 대전환</t>
    </r>
  </si>
  <si>
    <t xml:space="preserve">농식품부는 산업부와 협력하여 기후 위기, 고령화, 노동력 부족 등 구조적 난제에 직면한 농산업이 AX를 통해 지속가능한 성장 기반을 마련하고 미래 글로벌 경쟁력을 갖춘 농산업을 발전시킬 수 있도록 ’26년 1분기까지 ｢AI 기반 농업·농촌 대전환 추진계획｣을 수립한다. 동 추진계획은 ①차세대 스마트 팜, 농업용 지능형 로봇, 자율주행 농기계 등 AI 기반 핵심기술의 개발과 상용화 촉진, ②AI 기반 대규모 온실·AI-데이터 플랫폼이 포함된 국가 농업 AX플랫폼 구축, ③현장 중심의 실증과 보급 모델 구체화를 통한 생산성의 획기적 향상, ④정밀 수요예측과 물류 최적화를 통한 농산물 유통 구조 효율화, ⑤생산자와 소비자 모두가 신뢰할 수 있는 투명한 시장 환경 조성, ⑥기술·자본·인재가 선순환하는 개방형 혁신 산업 생태계 구축, ⑦유망한 AI 스타트업 육성 및 민간 투자 활성화 등의 내용을 포함한다.</t>
  </si>
  <si>
    <r>
      <rPr>
        <sz val="11"/>
        <color theme="1"/>
        <rFont val="맑은 고딕"/>
        <family val="2"/>
        <charset val="1"/>
      </rPr>
      <t xml:space="preserve">44 AI </t>
    </r>
    <r>
      <rPr>
        <sz val="11"/>
        <color theme="1"/>
        <rFont val="Noto Sans CJK SC"/>
        <family val="2"/>
      </rPr>
      <t xml:space="preserve">가치평가 체계 확립 및 글로벌 경쟁력 강화</t>
    </r>
  </si>
  <si>
    <t xml:space="preserve">44-1</t>
  </si>
  <si>
    <r>
      <rPr>
        <sz val="11"/>
        <color theme="1"/>
        <rFont val="맑은 고딕"/>
        <family val="2"/>
        <charset val="1"/>
      </rPr>
      <t xml:space="preserve">AI </t>
    </r>
    <r>
      <rPr>
        <sz val="11"/>
        <color theme="1"/>
        <rFont val="Noto Sans CJK SC"/>
        <family val="2"/>
      </rPr>
      <t xml:space="preserve">가치평가 체계 마련</t>
    </r>
  </si>
  <si>
    <t xml:space="preserve">과기정통부는 기획예산처와 협력해 국가 차원의 AX 추진이 단순한 기술 구현을 넘어 AI 기업의 글로벌 경쟁력 강화와 전문 인력의 공정한 보상으로 이어지는 선순환 생태계를 구축할 수 있도록, ‘AI 가치의 정당한 인정과 보상’ 원칙을 반영한 AI 가치평가 체계를 ’26년 3분기까지 마련한다. 동 평가 체계에는 AX 프로젝트의 전 과정에서 창출되는 기술적·인적 가치를 균형 있게 반영하는 합리적 가치평가 및 보상 체계를 포함하여야 하며, 평가 체계는 ①GPU·NPU 등 컴퓨팅 자원의 적정 투입량 산정을 위한 실태조사, ②데이터 수집·정제·라벨링 품질관리 및 개인정보 비식별화 등 데이터 처리 단계별 표준공정 및 분류체계, ③AI 모델의 파라미터 규모와 아키텍처 복잡성을 고려한 모델 사용에 따른 정량적 비용 산정 방식, ④서비스 구현 및 운영을 위한 API 연동, AI 적용 시스템 개발, 모니터링 및 성능 고도화 비용 산출 체계 등의 내용이 포함되어야 한다.</t>
  </si>
  <si>
    <t xml:space="preserve">44-2</t>
  </si>
  <si>
    <r>
      <rPr>
        <sz val="11"/>
        <color theme="1"/>
        <rFont val="맑은 고딕"/>
        <family val="2"/>
        <charset val="1"/>
      </rPr>
      <t xml:space="preserve">AI </t>
    </r>
    <r>
      <rPr>
        <sz val="11"/>
        <color theme="1"/>
        <rFont val="Noto Sans CJK SC"/>
        <family val="2"/>
      </rPr>
      <t xml:space="preserve">가치 기반 금융권 평가 기준 마련</t>
    </r>
  </si>
  <si>
    <t xml:space="preserve">과기정통부는 AI 기술 가치를 평가하기 위한 데이터·지표·산정 방식 등 평가 기반을 마련하고, 이를 바탕으로 소프트웨어·AI 기업이 금융기관에서 기술력과 성장성을 공정하게 인정받을 수 있는 금융권 평가 기준을 ’27년 2분기까지 마련함으로써 ‘AI 가치 기반 금융’ 체계를 확대한다.</t>
  </si>
  <si>
    <r>
      <rPr>
        <sz val="11"/>
        <color theme="1"/>
        <rFont val="맑은 고딕"/>
        <family val="2"/>
        <charset val="1"/>
      </rPr>
      <t xml:space="preserve">45 AI </t>
    </r>
    <r>
      <rPr>
        <sz val="11"/>
        <color theme="1"/>
        <rFont val="Noto Sans CJK SC"/>
        <family val="2"/>
      </rPr>
      <t xml:space="preserve">빅테크 기업 육성을 위한 </t>
    </r>
    <r>
      <rPr>
        <sz val="11"/>
        <color theme="1"/>
        <rFont val="맑은 고딕"/>
        <family val="2"/>
        <charset val="1"/>
      </rPr>
      <t xml:space="preserve">150</t>
    </r>
    <r>
      <rPr>
        <sz val="11"/>
        <color theme="1"/>
        <rFont val="Noto Sans CJK SC"/>
        <family val="2"/>
      </rPr>
      <t xml:space="preserve">조원 </t>
    </r>
    <r>
      <rPr>
        <sz val="11"/>
        <color theme="1"/>
        <rFont val="맑은 고딕"/>
        <family val="2"/>
        <charset val="1"/>
      </rPr>
      <t xml:space="preserve">+ ɑ </t>
    </r>
    <r>
      <rPr>
        <sz val="11"/>
        <color theme="1"/>
        <rFont val="Noto Sans CJK SC"/>
        <family val="2"/>
      </rPr>
      <t xml:space="preserve">국민 성장 펀드 조성</t>
    </r>
  </si>
  <si>
    <t xml:space="preserve">45-1</t>
  </si>
  <si>
    <r>
      <rPr>
        <sz val="11"/>
        <color theme="1"/>
        <rFont val="맑은 고딕"/>
        <family val="2"/>
        <charset val="1"/>
      </rPr>
      <t xml:space="preserve">AI </t>
    </r>
    <r>
      <rPr>
        <sz val="11"/>
        <color theme="1"/>
        <rFont val="Noto Sans CJK SC"/>
        <family val="2"/>
      </rPr>
      <t xml:space="preserve">분야 직</t>
    </r>
    <r>
      <rPr>
        <sz val="11"/>
        <color theme="1"/>
        <rFont val="맑은 고딕"/>
        <family val="2"/>
        <charset val="1"/>
      </rPr>
      <t xml:space="preserve">·</t>
    </r>
    <r>
      <rPr>
        <sz val="11"/>
        <color theme="1"/>
        <rFont val="Noto Sans CJK SC"/>
        <family val="2"/>
      </rPr>
      <t xml:space="preserve">간접 투자 및 금융지원 확대</t>
    </r>
  </si>
  <si>
    <t xml:space="preserve">금융위는 데이터센터와 국산 AI 반도체 등 핵심 인프라 구축을 위한 장기·저리 금융지원을 확대해 기업이 기술개발과 인재 확보에 전념할 수 있는 환경을 조성하기 위해 마련한 ｢150조 원+α 국민 성장 펀드 운용 방안｣의 이행 상황을 분기별로 점검하되, AI 분야의 직·간접 투자 규모와 금융지원 규모를 최대한도로 확대함으로써 잠재력 있는 AI 기업의 스케일업과 해외 진출을 집중 지원한다.</t>
  </si>
  <si>
    <t xml:space="preserve">45-2</t>
  </si>
  <si>
    <r>
      <rPr>
        <sz val="11"/>
        <color theme="1"/>
        <rFont val="맑은 고딕"/>
        <family val="2"/>
        <charset val="1"/>
      </rPr>
      <t xml:space="preserve">AI </t>
    </r>
    <r>
      <rPr>
        <sz val="11"/>
        <color theme="1"/>
        <rFont val="Noto Sans CJK SC"/>
        <family val="2"/>
      </rPr>
      <t xml:space="preserve">분야 국민성장펀드 추가 투자</t>
    </r>
  </si>
  <si>
    <t xml:space="preserve">금융위는 국민성장펀드를 활용해 AI 분야에 ｢국민 성장 펀드 운용 방안｣상의 계획을 넘어서는 투자 자금이 추가로 투입되도록 하되, 그 추가 투자 규모는 기업의 글로벌 경쟁력 확보에 충분한 수준으로 ’26년 2분기까지 제시되어야 한다.</t>
  </si>
  <si>
    <r>
      <rPr>
        <sz val="11"/>
        <color theme="1"/>
        <rFont val="맑은 고딕"/>
        <family val="2"/>
        <charset val="1"/>
      </rPr>
      <t xml:space="preserve">46 AI </t>
    </r>
    <r>
      <rPr>
        <sz val="11"/>
        <color theme="1"/>
        <rFont val="Noto Sans CJK SC"/>
        <family val="2"/>
      </rPr>
      <t xml:space="preserve">융합 분야 대표 프로젝트 발굴을 위한 </t>
    </r>
    <r>
      <rPr>
        <sz val="11"/>
        <color theme="1"/>
        <rFont val="맑은 고딕"/>
        <family val="2"/>
        <charset val="1"/>
      </rPr>
      <t xml:space="preserve">AX </t>
    </r>
    <r>
      <rPr>
        <sz val="11"/>
        <color theme="1"/>
        <rFont val="Noto Sans CJK SC"/>
        <family val="2"/>
      </rPr>
      <t xml:space="preserve">스프린트</t>
    </r>
  </si>
  <si>
    <t xml:space="preserve">46-1</t>
  </si>
  <si>
    <r>
      <rPr>
        <sz val="11"/>
        <color theme="1"/>
        <rFont val="맑은 고딕"/>
        <family val="2"/>
        <charset val="1"/>
      </rPr>
      <t xml:space="preserve">AX </t>
    </r>
    <r>
      <rPr>
        <sz val="11"/>
        <color theme="1"/>
        <rFont val="Noto Sans CJK SC"/>
        <family val="2"/>
      </rPr>
      <t xml:space="preserve">스프린트 추진</t>
    </r>
  </si>
  <si>
    <t xml:space="preserve">기획예산처는 산업부 등 관계부처와 함께 AX 스프린트 사업의 효율적 집행을 위해 산업별 특성, 기업 성장 단계, 부처별 집행계획을 반영한 ｢AX 스프린트 추진계획｣을 ’26년 2분기까지 마련한다. 동 추진계획에는 제조·바이오·농식품·물류·에너지·보건·교육 등 높은 파급효과가 기대되는 전략 분야를 중심으로 AI 융합 대표 프로젝트 후보군을 발굴해 우선 투자 대상으로 지정하며, 분야별/단계별 핵심성과지표를 마련하는 내용이 포함되어야 한다.</t>
  </si>
  <si>
    <t xml:space="preserve">46-2</t>
  </si>
  <si>
    <r>
      <rPr>
        <sz val="11"/>
        <color theme="1"/>
        <rFont val="맑은 고딕"/>
        <family val="2"/>
        <charset val="1"/>
      </rPr>
      <t xml:space="preserve">AX </t>
    </r>
    <r>
      <rPr>
        <sz val="11"/>
        <color theme="1"/>
        <rFont val="Noto Sans CJK SC"/>
        <family val="2"/>
      </rPr>
      <t xml:space="preserve">스프린트 </t>
    </r>
    <r>
      <rPr>
        <sz val="11"/>
        <color theme="1"/>
        <rFont val="맑은 고딕"/>
        <family val="2"/>
        <charset val="1"/>
      </rPr>
      <t xml:space="preserve">3</t>
    </r>
    <r>
      <rPr>
        <sz val="11"/>
        <color theme="1"/>
        <rFont val="Noto Sans CJK SC"/>
        <family val="2"/>
      </rPr>
      <t xml:space="preserve">단계</t>
    </r>
    <r>
      <rPr>
        <sz val="11"/>
        <color theme="1"/>
        <rFont val="맑은 고딕"/>
        <family val="2"/>
        <charset val="1"/>
      </rPr>
      <t xml:space="preserve">(</t>
    </r>
    <r>
      <rPr>
        <sz val="11"/>
        <color theme="1"/>
        <rFont val="Noto Sans CJK SC"/>
        <family val="2"/>
      </rPr>
      <t xml:space="preserve">개발</t>
    </r>
    <r>
      <rPr>
        <sz val="11"/>
        <color theme="1"/>
        <rFont val="맑은 고딕"/>
        <family val="2"/>
        <charset val="1"/>
      </rPr>
      <t xml:space="preserve">-</t>
    </r>
    <r>
      <rPr>
        <sz val="11"/>
        <color theme="1"/>
        <rFont val="Noto Sans CJK SC"/>
        <family val="2"/>
      </rPr>
      <t xml:space="preserve">실증</t>
    </r>
    <r>
      <rPr>
        <sz val="11"/>
        <color theme="1"/>
        <rFont val="맑은 고딕"/>
        <family val="2"/>
        <charset val="1"/>
      </rPr>
      <t xml:space="preserve">-</t>
    </r>
    <r>
      <rPr>
        <sz val="11"/>
        <color theme="1"/>
        <rFont val="Noto Sans CJK SC"/>
        <family val="2"/>
      </rPr>
      <t xml:space="preserve">확산</t>
    </r>
    <r>
      <rPr>
        <sz val="11"/>
        <color theme="1"/>
        <rFont val="맑은 고딕"/>
        <family val="2"/>
        <charset val="1"/>
      </rPr>
      <t xml:space="preserve">) </t>
    </r>
    <r>
      <rPr>
        <sz val="11"/>
        <color theme="1"/>
        <rFont val="Noto Sans CJK SC"/>
        <family val="2"/>
      </rPr>
      <t xml:space="preserve">실행</t>
    </r>
  </si>
  <si>
    <t xml:space="preserve">기획예산처는 동 프로그램을 핵심 AI 기술과 산업 데이터를 통합한 모델을 구축하는 개발 단계, 민간 주체가 참여해 기술의 경제성과 효율성을 검증하는 실증 단계, 검증된 모델을 산업 및 지역 단위로 확산하는 확산단계의 3단계로 나누어 실행한다.</t>
  </si>
  <si>
    <t xml:space="preserve">46-3</t>
  </si>
  <si>
    <r>
      <rPr>
        <sz val="11"/>
        <color theme="1"/>
        <rFont val="맑은 고딕"/>
        <family val="2"/>
        <charset val="1"/>
      </rPr>
      <t xml:space="preserve">AX </t>
    </r>
    <r>
      <rPr>
        <sz val="11"/>
        <color theme="1"/>
        <rFont val="Noto Sans CJK SC"/>
        <family val="2"/>
      </rPr>
      <t xml:space="preserve">스프린트 산출 데이터 연계</t>
    </r>
    <r>
      <rPr>
        <sz val="11"/>
        <color theme="1"/>
        <rFont val="맑은 고딕"/>
        <family val="2"/>
        <charset val="1"/>
      </rPr>
      <t xml:space="preserve">·</t>
    </r>
    <r>
      <rPr>
        <sz val="11"/>
        <color theme="1"/>
        <rFont val="Noto Sans CJK SC"/>
        <family val="2"/>
      </rPr>
      <t xml:space="preserve">확장</t>
    </r>
  </si>
  <si>
    <t xml:space="preserve">기획예산처는 동 프로그램을 통해 산출된 AI 데이터를 AI 데이터 통합 제공 체계에 연계하여 데이터 산업 활성화를 지원하며, AI 인프라·인력·제도 등 후속 정책과도 연결하여 지속 가능한 확장 구조를 마련한다.</t>
  </si>
  <si>
    <r>
      <rPr>
        <sz val="11"/>
        <color theme="1"/>
        <rFont val="맑은 고딕"/>
        <family val="2"/>
        <charset val="1"/>
      </rPr>
      <t xml:space="preserve">47 AI </t>
    </r>
    <r>
      <rPr>
        <sz val="11"/>
        <color theme="1"/>
        <rFont val="Noto Sans CJK SC"/>
        <family val="2"/>
      </rPr>
      <t xml:space="preserve">바우처를 통한 </t>
    </r>
    <r>
      <rPr>
        <sz val="11"/>
        <color theme="1"/>
        <rFont val="맑은 고딕"/>
        <family val="2"/>
        <charset val="1"/>
      </rPr>
      <t xml:space="preserve">LLM</t>
    </r>
    <r>
      <rPr>
        <sz val="11"/>
        <color theme="1"/>
        <rFont val="Noto Sans CJK SC"/>
        <family val="2"/>
      </rPr>
      <t xml:space="preserve">과 에이전트 수요 및 초기 시장 창출</t>
    </r>
  </si>
  <si>
    <t xml:space="preserve">47-1</t>
  </si>
  <si>
    <r>
      <rPr>
        <sz val="11"/>
        <color theme="1"/>
        <rFont val="맑은 고딕"/>
        <family val="2"/>
        <charset val="1"/>
      </rPr>
      <t xml:space="preserve">AX </t>
    </r>
    <r>
      <rPr>
        <sz val="11"/>
        <color theme="1"/>
        <rFont val="Noto Sans CJK SC"/>
        <family val="2"/>
      </rPr>
      <t xml:space="preserve">통합 바우처 운영</t>
    </r>
  </si>
  <si>
    <t xml:space="preserve">과기정통부는 기획예산처, 산업부, 중기부와 협력하여 기존의 R&amp;D나 솔루션 구매 중심 지원 방식에서 벗어나 바우처가 국내 LLM·AI 에이전트 기업들의 강력한 초기 수요 시장으로 작동할 수 있도록 ｢AX 통합 바우처 운영 방안｣을 ’26년 2분기까지 마련하되, 동 운영 방안에는 ①LLM·에이전트 기업의 매출 기반 형성을 유도할 수 있는 효율적인 바우처 지원 규모 및 기간, 지원 대상 선정, ②기업이 실제 업무에 맞게 AI 기술을 선택·적용할 수 있는 바우처 구조 설계, ③효과적인 바우처 제공을 위한 관계 부처 협조 체계 구축 등 AI 기술의 초기 시장을 조성하기 위한 지원방안이 포함되어야 한다.</t>
  </si>
  <si>
    <t xml:space="preserve">기획처, 산업부, 중기부</t>
  </si>
  <si>
    <r>
      <rPr>
        <sz val="11"/>
        <color theme="1"/>
        <rFont val="맑은 고딕"/>
        <family val="2"/>
        <charset val="1"/>
      </rPr>
      <t xml:space="preserve">48 </t>
    </r>
    <r>
      <rPr>
        <sz val="11"/>
        <color theme="1"/>
        <rFont val="Noto Sans CJK SC"/>
        <family val="2"/>
      </rPr>
      <t xml:space="preserve">한국형 </t>
    </r>
    <r>
      <rPr>
        <sz val="11"/>
        <color theme="1"/>
        <rFont val="맑은 고딕"/>
        <family val="2"/>
        <charset val="1"/>
      </rPr>
      <t xml:space="preserve">AI </t>
    </r>
    <r>
      <rPr>
        <sz val="11"/>
        <color theme="1"/>
        <rFont val="Noto Sans CJK SC"/>
        <family val="2"/>
      </rPr>
      <t xml:space="preserve">풀스택 수출 전략 마련 및 글로벌 확산 추진</t>
    </r>
  </si>
  <si>
    <t xml:space="preserve">48-1</t>
  </si>
  <si>
    <r>
      <rPr>
        <sz val="11"/>
        <color theme="1"/>
        <rFont val="맑은 고딕"/>
        <family val="2"/>
        <charset val="1"/>
      </rPr>
      <t xml:space="preserve">AI </t>
    </r>
    <r>
      <rPr>
        <sz val="11"/>
        <color theme="1"/>
        <rFont val="Noto Sans CJK SC"/>
        <family val="2"/>
      </rPr>
      <t xml:space="preserve">풀스택 수출 및 기업 해외 진출 지원</t>
    </r>
  </si>
  <si>
    <t xml:space="preserve">과기정통부는 AI를 차세대 수출 주력 산업으로 육성하기 위해 우리나라가 보유한 AI 모델, 전력·냉각·네트워크·클라우드 인프라, 서비스 플랫폼, 보안 등 ICT 전 분야의 경쟁력을 결합한 ｢AI 풀스택 수출 및 기업의 해외 진출 지원 계획｣을 ’26년 2분기까지 수립하되, 동 계획에는 우리나라의 강점인 제조·문화·공공의료 등의 분야에서 축적된 고급 데이터를 AI 풀스택 전략과 연계한 글로벌 경쟁력 강화 방안이 포함되어야 한다.</t>
  </si>
  <si>
    <t xml:space="preserve">48-2</t>
  </si>
  <si>
    <r>
      <rPr>
        <sz val="11"/>
        <color theme="1"/>
        <rFont val="맑은 고딕"/>
        <family val="2"/>
        <charset val="1"/>
      </rPr>
      <t xml:space="preserve">AI </t>
    </r>
    <r>
      <rPr>
        <sz val="11"/>
        <color theme="1"/>
        <rFont val="Noto Sans CJK SC"/>
        <family val="2"/>
      </rPr>
      <t xml:space="preserve">수출 시장 발굴 및 단계적 확장</t>
    </r>
  </si>
  <si>
    <t xml:space="preserve">과기정통부는 ’26년 2분기까지 중동 등 신흥 시장과 디지털 전환을 추진 중인 개발도상국을 우선 발굴해 국가별 산업 구조, 디지털 인프라, 정책·규제 환경, AI 수요를 종합 조사한 내용을 AI 기업과 공유함으로써 글로벌 AI 시장에서의 수출 경쟁력을 높이는 한편, 해당 조사 결과를 바탕으로 AI 풀스택 각 부문의 주요 기업이 참여하는 컨소시엄 또는 협의체를 구성해 수출 모델을 마련하고, 이를 토대로 외교부와 협력해 진출 예정 국가와의 교류·연계를 확대하며 향후 선진국 시장으로의 단계적 확장 기반을 확보한다.</t>
  </si>
  <si>
    <r>
      <rPr>
        <sz val="11"/>
        <color theme="1"/>
        <rFont val="맑은 고딕"/>
        <family val="2"/>
        <charset val="1"/>
      </rPr>
      <t xml:space="preserve">49 </t>
    </r>
    <r>
      <rPr>
        <sz val="11"/>
        <color theme="1"/>
        <rFont val="Noto Sans CJK SC"/>
        <family val="2"/>
      </rPr>
      <t xml:space="preserve">질적 성장 중심의 </t>
    </r>
    <r>
      <rPr>
        <sz val="11"/>
        <color theme="1"/>
        <rFont val="맑은 고딕"/>
        <family val="2"/>
        <charset val="1"/>
      </rPr>
      <t xml:space="preserve">AI </t>
    </r>
    <r>
      <rPr>
        <sz val="11"/>
        <color theme="1"/>
        <rFont val="Noto Sans CJK SC"/>
        <family val="2"/>
      </rPr>
      <t xml:space="preserve">데카콘 기업 육성</t>
    </r>
  </si>
  <si>
    <t xml:space="preserve">49-1</t>
  </si>
  <si>
    <r>
      <rPr>
        <sz val="11"/>
        <color theme="1"/>
        <rFont val="맑은 고딕"/>
        <family val="2"/>
        <charset val="1"/>
      </rPr>
      <t xml:space="preserve">2030 </t>
    </r>
    <r>
      <rPr>
        <sz val="11"/>
        <color theme="1"/>
        <rFont val="Noto Sans CJK SC"/>
        <family val="2"/>
      </rPr>
      <t xml:space="preserve">글로벌 </t>
    </r>
    <r>
      <rPr>
        <sz val="11"/>
        <color theme="1"/>
        <rFont val="맑은 고딕"/>
        <family val="2"/>
        <charset val="1"/>
      </rPr>
      <t xml:space="preserve">AI </t>
    </r>
    <r>
      <rPr>
        <sz val="11"/>
        <color theme="1"/>
        <rFont val="Noto Sans CJK SC"/>
        <family val="2"/>
      </rPr>
      <t xml:space="preserve">데카콘 기업 육성</t>
    </r>
  </si>
  <si>
    <t xml:space="preserve">중기부는 산업부, 과기정통부와 협력하여 국내 벤처·스타트업이 초거대 기업으로 성장할 수 있는 발판을 마련하기 위한 ｢2030 글로벌 AI 데카콘 기업 육성계획｣을 ’26년 3분기까지 수립한다. 동 육성계획은 ①AI 분야 창업가의 체계적 양성, ②도메인별 국가대표 AI 벤처·스타트업의 발굴·지정 및 집중 육성, ③AI 청년 창업가 및 도메인 특화 스타트업 지원 프로그램 확대, ④기술력·시장성 기반의 스케일업 성장 경로 체계화, ⑤민간 VC·정책금융·글로벌 펀드를 연계한 투자 구조 구축과 AI 분야 투자 확대, ⑥해외 진출형 스타트업에 대한 글로벌 액셀러레이팅·현지 법인 설립·시장 진입 패키지 지원 등을 내용을 포함하며, AI 벤처·스타트업 대상 지원 과제 수는 축소하고 과제별 지원 규모는 확대하는 방향으로 추진한다.</t>
  </si>
  <si>
    <t xml:space="preserve">전략분야 7) 공공AX</t>
  </si>
  <si>
    <r>
      <rPr>
        <sz val="11"/>
        <color theme="1"/>
        <rFont val="맑은 고딕"/>
        <family val="2"/>
        <charset val="1"/>
      </rPr>
      <t xml:space="preserve">50 AI-Native</t>
    </r>
    <r>
      <rPr>
        <sz val="11"/>
        <color theme="1"/>
        <rFont val="Noto Sans CJK SC"/>
        <family val="2"/>
      </rPr>
      <t xml:space="preserve">한 공무원 협업체계 구축</t>
    </r>
  </si>
  <si>
    <t xml:space="preserve">50-1</t>
  </si>
  <si>
    <t xml:space="preserve">범정부 AI 공통기반 구축</t>
  </si>
  <si>
    <t xml:space="preserve">공공AX 분과</t>
  </si>
  <si>
    <t xml:space="preserve">행안부는 과기정통부와 협력하여 범정부 AI 공통기반 구축을 위해 ’26년 1분기까지 정부 내 AI의 안전한 도입･활용을 지원하는 ‘범정부 AI 공통기반’의 요구조건을 정리하고, ’26년 4분기까지 이를 만족하는 공통기반을 마련한다.</t>
  </si>
  <si>
    <t xml:space="preserve">50-2</t>
  </si>
  <si>
    <t xml:space="preserve">공공데이터 AI 활용 법령 정비 및 지식체계 확산</t>
  </si>
  <si>
    <t xml:space="preserve">행안부는 정부 공공데이터의 Machine Readable 의무화, FAIR 의무화를 위해 고쳐야 할 관련법안과 시행령 목록을 ’26년 1분기까지 작성하고, 이를 구현할 수 있는 개정안을 ’26년 2분기까지 마련한다. 또한 행안부는 공무원이 업무 현장에서 이 지식 기반을 즉시 활용할 수 있도록 ’26년 4분기까지 지식 체계를 전 부처로 확대하고, 품질관리 체계를 본격 가동하여 AI 업무관리 협업 플랫폼을 발전시킨다.</t>
  </si>
  <si>
    <r>
      <rPr>
        <sz val="11"/>
        <color theme="1"/>
        <rFont val="맑은 고딕"/>
        <family val="2"/>
        <charset val="1"/>
      </rPr>
      <t xml:space="preserve">51 </t>
    </r>
    <r>
      <rPr>
        <sz val="11"/>
        <color theme="1"/>
        <rFont val="Noto Sans CJK SC"/>
        <family val="2"/>
      </rPr>
      <t xml:space="preserve">칸막이를 넘어 데이터와 맥락을 연결하는 </t>
    </r>
    <r>
      <rPr>
        <sz val="11"/>
        <color theme="1"/>
        <rFont val="맑은 고딕"/>
        <family val="2"/>
        <charset val="1"/>
      </rPr>
      <t xml:space="preserve">AI </t>
    </r>
    <r>
      <rPr>
        <sz val="11"/>
        <color theme="1"/>
        <rFont val="Noto Sans CJK SC"/>
        <family val="2"/>
      </rPr>
      <t xml:space="preserve">업무관리 플랫폼 구축</t>
    </r>
  </si>
  <si>
    <t xml:space="preserve">51-1</t>
  </si>
  <si>
    <t xml:space="preserve">공문서 클라우드 기반 전환 및 AI 활용 환경 구축</t>
  </si>
  <si>
    <t xml:space="preserve">행안부·과기정통부는 ’26년 4분기까지 모든 공문서의 자료 저장 및 업무 활용 체계를 전면적으로 클라우드 기반으로 전환, AI가 모든 공문서를 활용할 수 있는 환경을 구축한다.</t>
  </si>
  <si>
    <t xml:space="preserve">51-2</t>
  </si>
  <si>
    <t xml:space="preserve">정부-국회 문서 유통 일원화</t>
  </si>
  <si>
    <t xml:space="preserve">국조실은 국회 운영위원회와 협의에 협력하여 ’26년 4분기까지 정부-국회 문서 유통을 의정자료전자유통시스템으로 일원화될 수 있도록 행정각부를 점검·독려한다.</t>
  </si>
  <si>
    <t xml:space="preserve">51-3</t>
  </si>
  <si>
    <t xml:space="preserve">예산 편성 전 단계 문서 유통 일원화</t>
  </si>
  <si>
    <t xml:space="preserve">기획예산처·과기정통부는 ’26년 4분기까지 예산 요구, 편성, 집행 등 예산 편성과 관련한 모든 단계의 문서 유통을 디브레인으로 일원화한다.</t>
  </si>
  <si>
    <t xml:space="preserve">51-4</t>
  </si>
  <si>
    <t xml:space="preserve">디브레인·이호조 시스템 AI 접근 방안 검토</t>
  </si>
  <si>
    <t xml:space="preserve">기획예산처와 행안부는 통합재정 가시성 제고, 중복 투자 및 누수 방지, 데이터 정책 강화를 위해 AI가 디브레인과 이호조 시스템에 접근하는 방안에 대한 검토 의견을 ’26년 2분기까지 작성한다.</t>
  </si>
  <si>
    <t xml:space="preserve">기획처, 행안부</t>
  </si>
  <si>
    <r>
      <rPr>
        <sz val="11"/>
        <color theme="1"/>
        <rFont val="맑은 고딕"/>
        <family val="2"/>
        <charset val="1"/>
      </rPr>
      <t xml:space="preserve">52 </t>
    </r>
    <r>
      <rPr>
        <sz val="11"/>
        <color theme="1"/>
        <rFont val="Noto Sans CJK SC"/>
        <family val="2"/>
      </rPr>
      <t xml:space="preserve">공공 정보화 사업</t>
    </r>
    <r>
      <rPr>
        <sz val="11"/>
        <color theme="1"/>
        <rFont val="맑은 고딕"/>
        <family val="2"/>
        <charset val="1"/>
      </rPr>
      <t xml:space="preserve">, </t>
    </r>
    <r>
      <rPr>
        <sz val="11"/>
        <color theme="1"/>
        <rFont val="Noto Sans CJK SC"/>
        <family val="2"/>
      </rPr>
      <t xml:space="preserve">민간 클라우드로 전환</t>
    </r>
  </si>
  <si>
    <t xml:space="preserve">52-1</t>
  </si>
  <si>
    <t xml:space="preserve">정부·공공기관 민간 클라우드 이용 제한 법·제도 정비</t>
  </si>
  <si>
    <t xml:space="preserve">행안부·과기정통부·국정원은 정부와 공공기관에서 민간 클라우드 이용을 제한하는 것으로 알려진 법과 제도를 모두 리스트업하고, 「AI 정부 인프라 거버넌스·혁신 TF」가 마련하는 정책방안을 토대로 이를 준수할 방안을 ’26년 1분기까지 마련한다.</t>
  </si>
  <si>
    <t xml:space="preserve">행안부, 과기정통부, 국정원</t>
  </si>
  <si>
    <t xml:space="preserve">52-2</t>
  </si>
  <si>
    <t xml:space="preserve">정부·공공기관 단계적 민간 클라우드 전환</t>
  </si>
  <si>
    <t xml:space="preserve">행안부는 과기정통부·국정원·기획예산처 등 관계부처와 협력하여 정부･공공기관의 정보화 사업 추진 시 민간 클라우드 이용 검토를 의무화하고, 공공 정보시스템의 중요성·보안성, 운영시설의 안정성 등을 고려하여 기존 정보화 사업을 민간 클라우드로 단계적 전환하는 계획을 ’26년 4분기까지 수립한다.</t>
  </si>
  <si>
    <t xml:space="preserve">과기정통부, 기획처, 국정원</t>
  </si>
  <si>
    <r>
      <rPr>
        <sz val="11"/>
        <color theme="1"/>
        <rFont val="맑은 고딕"/>
        <family val="2"/>
        <charset val="1"/>
      </rPr>
      <t xml:space="preserve">53 </t>
    </r>
    <r>
      <rPr>
        <sz val="11"/>
        <color theme="1"/>
        <rFont val="Noto Sans CJK SC"/>
        <family val="2"/>
      </rPr>
      <t xml:space="preserve">세계 </t>
    </r>
    <r>
      <rPr>
        <sz val="11"/>
        <color theme="1"/>
        <rFont val="맑은 고딕"/>
        <family val="2"/>
        <charset val="1"/>
      </rPr>
      <t xml:space="preserve">1</t>
    </r>
    <r>
      <rPr>
        <sz val="11"/>
        <color theme="1"/>
        <rFont val="Noto Sans CJK SC"/>
        <family val="2"/>
      </rPr>
      <t xml:space="preserve">위 </t>
    </r>
    <r>
      <rPr>
        <sz val="11"/>
        <color theme="1"/>
        <rFont val="맑은 고딕"/>
        <family val="2"/>
        <charset val="1"/>
      </rPr>
      <t xml:space="preserve">AI</t>
    </r>
    <r>
      <rPr>
        <sz val="11"/>
        <color theme="1"/>
        <rFont val="Noto Sans CJK SC"/>
        <family val="2"/>
      </rPr>
      <t xml:space="preserve">정부 도약 견인</t>
    </r>
    <r>
      <rPr>
        <sz val="11"/>
        <color theme="1"/>
        <rFont val="맑은 고딕"/>
        <family val="2"/>
        <charset val="1"/>
      </rPr>
      <t xml:space="preserve">, </t>
    </r>
    <r>
      <rPr>
        <sz val="11"/>
        <color theme="1"/>
        <rFont val="Noto Sans CJK SC"/>
        <family val="2"/>
      </rPr>
      <t xml:space="preserve">공공분야 </t>
    </r>
    <r>
      <rPr>
        <sz val="11"/>
        <color theme="1"/>
        <rFont val="맑은 고딕"/>
        <family val="2"/>
        <charset val="1"/>
      </rPr>
      <t xml:space="preserve">AI</t>
    </r>
    <r>
      <rPr>
        <sz val="11"/>
        <color theme="1"/>
        <rFont val="Noto Sans CJK SC"/>
        <family val="2"/>
      </rPr>
      <t xml:space="preserve">챔피언 양성</t>
    </r>
  </si>
  <si>
    <t xml:space="preserve">53-1</t>
  </si>
  <si>
    <t xml:space="preserve">공공 AI 실무 인재(AI챔피언) 양성</t>
  </si>
  <si>
    <t xml:space="preserve">행안부는 인사처, 교육부, 과기정통부, 노동부 등 관련 부처와 협력하여, ▲AI 실무인재상(AI챔피언)의 구체적인 개념과 목표 설정 및 산출 근거, ▲’30년까지의 단계별 인력 양성 계획과 교육 인프라 확충 방안을 ’26년 1분기까지 마련한다.</t>
  </si>
  <si>
    <t xml:space="preserve">과기정통부, 교육부, 노동부, 인사처</t>
  </si>
  <si>
    <t xml:space="preserve">53-2</t>
  </si>
  <si>
    <t xml:space="preserve">공공부문 재직자 대상 AI 교육</t>
  </si>
  <si>
    <t xml:space="preserve">행안부와 인사처는 공공부문 재직자(중앙·지방 공무원과 산하기관 재직자 포함)를 대상으로 AI 기반 행정, AI 활용 문제해결 역량, 실무형 AI 인재 양성의 질적 수준을 제고하기 위한 종합적 교육 시스템 구축 방안(구체적으로 행안부는 공공분야 AI 교육강화, 민관 협력형 실습과정 도입, 직무별 맞춤형 교육트랙과 인증제도 도입 등을 포함하고, 인사처는 AI 인재 채용 확대 방안을 포함)을 ’26년 1분기까지 마련하고, 시스템 구축 전이라도 시행가능한 구체적인 교육 프로그램은 바로 운영을 시작한다.</t>
  </si>
  <si>
    <t xml:space="preserve">행안부, 인사처</t>
  </si>
  <si>
    <r>
      <rPr>
        <sz val="11"/>
        <color theme="1"/>
        <rFont val="맑은 고딕"/>
        <family val="2"/>
        <charset val="1"/>
      </rPr>
      <t xml:space="preserve">54 </t>
    </r>
    <r>
      <rPr>
        <sz val="11"/>
        <color theme="1"/>
        <rFont val="Noto Sans CJK SC"/>
        <family val="2"/>
      </rPr>
      <t xml:space="preserve">공공부문 </t>
    </r>
    <r>
      <rPr>
        <sz val="11"/>
        <color theme="1"/>
        <rFont val="맑은 고딕"/>
        <family val="2"/>
        <charset val="1"/>
      </rPr>
      <t xml:space="preserve">AI </t>
    </r>
    <r>
      <rPr>
        <sz val="11"/>
        <color theme="1"/>
        <rFont val="Noto Sans CJK SC"/>
        <family val="2"/>
      </rPr>
      <t xml:space="preserve">도입에 대한 국민 기본권 보장</t>
    </r>
    <r>
      <rPr>
        <sz val="11"/>
        <color theme="1"/>
        <rFont val="맑은 고딕"/>
        <family val="2"/>
        <charset val="1"/>
      </rPr>
      <t xml:space="preserve">, </t>
    </r>
    <r>
      <rPr>
        <sz val="11"/>
        <color theme="1"/>
        <rFont val="Noto Sans CJK SC"/>
        <family val="2"/>
      </rPr>
      <t xml:space="preserve">공공 </t>
    </r>
    <r>
      <rPr>
        <sz val="11"/>
        <color theme="1"/>
        <rFont val="맑은 고딕"/>
        <family val="2"/>
        <charset val="1"/>
      </rPr>
      <t xml:space="preserve">AI </t>
    </r>
    <r>
      <rPr>
        <sz val="11"/>
        <color theme="1"/>
        <rFont val="Noto Sans CJK SC"/>
        <family val="2"/>
      </rPr>
      <t xml:space="preserve">영향평가</t>
    </r>
  </si>
  <si>
    <t xml:space="preserve">54-1</t>
  </si>
  <si>
    <t xml:space="preserve">공공 AI 영향평가 세부안 마련</t>
  </si>
  <si>
    <t xml:space="preserve">행안부는 공공 AI 영향평가의 대상, 방법, 절차 등을 구체화한 세부안을 ’26년 4분기까지 확정하되, 개인정보 영향평가 제도와 「인공지능기본법」 등 관련 법령과 중복 규제를 최소화하고, 연계하여 국민 기본권 침해 가능성을 사전에 차단하는 예방적 제도를 ’26년 4분기까지 마련한다.</t>
  </si>
  <si>
    <r>
      <rPr>
        <sz val="11"/>
        <color theme="1"/>
        <rFont val="맑은 고딕"/>
        <family val="2"/>
        <charset val="1"/>
      </rPr>
      <t xml:space="preserve">55 </t>
    </r>
    <r>
      <rPr>
        <sz val="11"/>
        <color theme="1"/>
        <rFont val="Noto Sans CJK SC"/>
        <family val="2"/>
      </rPr>
      <t xml:space="preserve">안전한 </t>
    </r>
    <r>
      <rPr>
        <sz val="11"/>
        <color theme="1"/>
        <rFont val="맑은 고딕"/>
        <family val="2"/>
        <charset val="1"/>
      </rPr>
      <t xml:space="preserve">AI</t>
    </r>
    <r>
      <rPr>
        <sz val="11"/>
        <color theme="1"/>
        <rFont val="Noto Sans CJK SC"/>
        <family val="2"/>
      </rPr>
      <t xml:space="preserve">이용 보장</t>
    </r>
    <r>
      <rPr>
        <sz val="11"/>
        <color theme="1"/>
        <rFont val="맑은 고딕"/>
        <family val="2"/>
        <charset val="1"/>
      </rPr>
      <t xml:space="preserve">, </t>
    </r>
    <r>
      <rPr>
        <sz val="11"/>
        <color theme="1"/>
        <rFont val="Noto Sans CJK SC"/>
        <family val="2"/>
      </rPr>
      <t xml:space="preserve">공공부문 </t>
    </r>
    <r>
      <rPr>
        <sz val="11"/>
        <color theme="1"/>
        <rFont val="맑은 고딕"/>
        <family val="2"/>
        <charset val="1"/>
      </rPr>
      <t xml:space="preserve">AI </t>
    </r>
    <r>
      <rPr>
        <sz val="11"/>
        <color theme="1"/>
        <rFont val="Noto Sans CJK SC"/>
        <family val="2"/>
      </rPr>
      <t xml:space="preserve">윤리기준 마련</t>
    </r>
  </si>
  <si>
    <t xml:space="preserve">55-1</t>
  </si>
  <si>
    <t xml:space="preserve">공공부문 AI 윤리기준 마련</t>
  </si>
  <si>
    <t xml:space="preserve">행안부는 과기정통부, 개인정보위와 협력하여 공공기관 AI 활용의 안전성과 신뢰성 확보를 위해 「인공지능기본법」과 그 시행령을 반영해 공공기관의 AI 도입 시 준수해야 할 윤리기준과 절차 등을 체계화하여 공공부문 특성에 맞는 구체적이고 실무적인 AI 윤리기준을 ’26년 2분기까지 마련한다.</t>
  </si>
  <si>
    <r>
      <rPr>
        <sz val="11"/>
        <color theme="1"/>
        <rFont val="맑은 고딕"/>
        <family val="2"/>
        <charset val="1"/>
      </rPr>
      <t xml:space="preserve">56 </t>
    </r>
    <r>
      <rPr>
        <sz val="11"/>
        <color theme="1"/>
        <rFont val="Noto Sans CJK SC"/>
        <family val="2"/>
      </rPr>
      <t xml:space="preserve">공공 </t>
    </r>
    <r>
      <rPr>
        <sz val="11"/>
        <color theme="1"/>
        <rFont val="맑은 고딕"/>
        <family val="2"/>
        <charset val="1"/>
      </rPr>
      <t xml:space="preserve">AI </t>
    </r>
    <r>
      <rPr>
        <sz val="11"/>
        <color theme="1"/>
        <rFont val="Noto Sans CJK SC"/>
        <family val="2"/>
      </rPr>
      <t xml:space="preserve">大전환 가속화</t>
    </r>
    <r>
      <rPr>
        <sz val="11"/>
        <color theme="1"/>
        <rFont val="맑은 고딕"/>
        <family val="2"/>
        <charset val="1"/>
      </rPr>
      <t xml:space="preserve">, </t>
    </r>
    <r>
      <rPr>
        <sz val="11"/>
        <color theme="1"/>
        <rFont val="Noto Sans CJK SC"/>
        <family val="2"/>
      </rPr>
      <t xml:space="preserve">적극행정 인센티브와 감사 면책 마련</t>
    </r>
  </si>
  <si>
    <t xml:space="preserve">56-1</t>
  </si>
  <si>
    <t xml:space="preserve">공공부문 AI 활용 촉진</t>
  </si>
  <si>
    <t xml:space="preserve">행안부·인사처·감사원은 국가AI전략위 및 과기정통부 등 관계기관과 협력하여 AI 기반 디지털 인프라 장애와 정책실행 실패가 반복되는 관행을 개선하기 위해 ‘정부 우수사례 공유·프리모템/포스트모템 리포트 제도화 및 정책학습 인프라 구축’을 골자로 하는 ‘공공 AI 활용 촉진 종합방안’을 ’26년 2분기까지 수립한다. 이 종합방안은 단순한 재발방지대책을 넘어 ‘지속적으로 학습하고 개선하는’, ‘실패가 자산이 되는’ 관행 수립을 목표로 한다. 이를 통해 공공부문 AI 도입 우수사례를 DB로 구축하고 이를 각 부처와 지방정부, 각급 공공기관이 잘 쓸 수 있도록 확산방안을 마련하며, 동일한 실패가 되풀이되지 않을 수 있도록 시스템화한다. 행안부·인사처·감사원은 적극행정에 대한 성과 기반 인센티브를 제도화하고, 사전 예방형 감사 면책 기준 마련 등을 체계화함으로써 공직자의 책임 명확성과 행정 신뢰성을 동시에 제고한다.</t>
  </si>
  <si>
    <t xml:space="preserve">행안부, 인사처, 감사원</t>
  </si>
  <si>
    <t xml:space="preserve">국가AI전략위, 과기정통부, 감사원</t>
  </si>
  <si>
    <r>
      <rPr>
        <sz val="11"/>
        <color theme="1"/>
        <rFont val="맑은 고딕"/>
        <family val="2"/>
        <charset val="1"/>
      </rPr>
      <t xml:space="preserve">57 </t>
    </r>
    <r>
      <rPr>
        <sz val="11"/>
        <color theme="1"/>
        <rFont val="Noto Sans CJK SC"/>
        <family val="2"/>
      </rPr>
      <t xml:space="preserve">공공</t>
    </r>
    <r>
      <rPr>
        <sz val="11"/>
        <color theme="1"/>
        <rFont val="맑은 고딕"/>
        <family val="2"/>
        <charset val="1"/>
      </rPr>
      <t xml:space="preserve">AX </t>
    </r>
    <r>
      <rPr>
        <sz val="11"/>
        <color theme="1"/>
        <rFont val="Noto Sans CJK SC"/>
        <family val="2"/>
      </rPr>
      <t xml:space="preserve">정책의 성공적인 실행을 위한 성과 평가 시행</t>
    </r>
  </si>
  <si>
    <t xml:space="preserve">57-1</t>
  </si>
  <si>
    <t xml:space="preserve">부처별 AI 정책 성과 종합평가체계</t>
  </si>
  <si>
    <t xml:space="preserve">국가AI전략위는 국가 AI·AX 전략의 체계적 이행을 위해, 관계 부처와 협의하여 부처별 AI 정책의 성과를 정량·정성 지표로 평가할 수 있는 종합평가체계를 ’26년 2분기까지 마련한다.</t>
  </si>
  <si>
    <t xml:space="preserve">57-2</t>
  </si>
  <si>
    <t xml:space="preserve">부처별 AI 정책 성과 종합평가 결과 활용</t>
  </si>
  <si>
    <t xml:space="preserve">행안부·기획예산처·과기정통부 등 관계부처는 위의 종합평가체계를 활용한 평가 결과를 ①정부업무평가, ②AI 및 디지털 관련 예산편성, ③AI R&amp;D 투자조정, ④성과보상 등 주요 정책·제도 결정에 ’27년부터 반영한다.</t>
  </si>
  <si>
    <t xml:space="preserve">행안부, 기획처, 과기정통부</t>
  </si>
  <si>
    <t xml:space="preserve">57-3</t>
  </si>
  <si>
    <t xml:space="preserve">부처별 AI 정책 성과 점검</t>
  </si>
  <si>
    <t xml:space="preserve">국가AI전략위는 부처 간 학습과 경쟁을 촉진하고 국민의 신뢰와 참여를 높이기 위하여 ’26년부터 매년 부처별 AI 정책 성과를 점검하고, ’27년부터 점검 결과 및 우수사례를 매년 「AI 정부혁신 백서」 형태로 작성하여 공개한다.</t>
  </si>
  <si>
    <r>
      <rPr>
        <sz val="11"/>
        <color theme="1"/>
        <rFont val="맑은 고딕"/>
        <family val="2"/>
        <charset val="1"/>
      </rPr>
      <t xml:space="preserve">58 AI</t>
    </r>
    <r>
      <rPr>
        <sz val="11"/>
        <color theme="1"/>
        <rFont val="Noto Sans CJK SC"/>
        <family val="2"/>
      </rPr>
      <t xml:space="preserve">를 활용한 최고의 대국민 서비스 제공</t>
    </r>
  </si>
  <si>
    <t xml:space="preserve">58-1</t>
  </si>
  <si>
    <t xml:space="preserve">범정부 AI 대전환(3대 분야 30개 과제)</t>
  </si>
  <si>
    <t xml:space="preserve">행안부는 중앙 및 지방정부를 포함해 범정부 차원 AI 대전환 본격 추진, 3대 분야･30개 과제 추진을 위해 ▴30대 핵심과제 선정, ▴관계 부처와 함께 과제별 중복 및 범정부 AI공통기반 활용 여부 등을 반영한 이행계획 마련, ▴과기정통부와 협력하여 과제별 비용 최적화를 위한 비용/기술 가드레일 방안 마련을 ’26년 1분기까지 한다.</t>
  </si>
  <si>
    <t xml:space="preserve">58-2</t>
  </si>
  <si>
    <r>
      <rPr>
        <sz val="11"/>
        <color theme="1"/>
        <rFont val="맑은 고딕"/>
        <family val="2"/>
        <charset val="1"/>
      </rPr>
      <t xml:space="preserve">AI </t>
    </r>
    <r>
      <rPr>
        <sz val="11"/>
        <color theme="1"/>
        <rFont val="Noto Sans CJK SC"/>
        <family val="2"/>
      </rPr>
      <t xml:space="preserve">기반 통합민원플랫폼 구축</t>
    </r>
  </si>
  <si>
    <t xml:space="preserve">행안부는 위 조건을 만족하는 AI 기반 통합민원플랫폼 구축을 위해 BPR·ISP·프로토타입 제작 등을 수행하여 AI 기반 통합민원플랫폼 구축방안을 ’26년 2분기까지 수립한다.</t>
  </si>
  <si>
    <t xml:space="preserve">58-3</t>
  </si>
  <si>
    <t xml:space="preserve">범정부 재난안전 AI 전환</t>
  </si>
  <si>
    <t xml:space="preserve">행안부는 AI를 활용한 재난의 실시간 탐지/예측 및 AI 기반 재난안전관리 업무 추진과 재난안전 AI 구축을 위해 필요한 데이터 명세 및 각 부처의 재난안전 AI 구축 방안 등을 포함한「범정부 재난안전 인공지능 전환계획」을 ’26년 2분기까지 수립한다.</t>
  </si>
  <si>
    <r>
      <rPr>
        <sz val="11"/>
        <color theme="1"/>
        <rFont val="맑은 고딕"/>
        <family val="2"/>
        <charset val="1"/>
      </rPr>
      <t xml:space="preserve">59 </t>
    </r>
    <r>
      <rPr>
        <sz val="11"/>
        <color theme="1"/>
        <rFont val="Noto Sans CJK SC"/>
        <family val="2"/>
      </rPr>
      <t xml:space="preserve">행정</t>
    </r>
    <r>
      <rPr>
        <sz val="11"/>
        <color theme="1"/>
        <rFont val="맑은 고딕"/>
        <family val="2"/>
        <charset val="1"/>
      </rPr>
      <t xml:space="preserve">/</t>
    </r>
    <r>
      <rPr>
        <sz val="11"/>
        <color theme="1"/>
        <rFont val="Noto Sans CJK SC"/>
        <family val="2"/>
      </rPr>
      <t xml:space="preserve">사법 투명성 증대를 위한 공공데이터 공개</t>
    </r>
  </si>
  <si>
    <t xml:space="preserve">59-1</t>
  </si>
  <si>
    <t xml:space="preserve">법원 판결문 공개 법적·제도적 준비</t>
  </si>
  <si>
    <t xml:space="preserve">법무부는 법원행정처 등 관계기관과 협조하여 미국, 영국 등 선진국 수준으로 법원 판결문을 공개할 수 있기 위한 필요한 법적, 제도적 준비 사항을 ’26년 1분기까지 마련한다.</t>
  </si>
  <si>
    <t xml:space="preserve">법무부</t>
  </si>
  <si>
    <t xml:space="preserve">59-2</t>
  </si>
  <si>
    <t xml:space="preserve">법원 판결문 개방 지원(기계판독 가능 형태)</t>
  </si>
  <si>
    <t xml:space="preserve">행안부와 과기정통부는 법원 판결문 등이 기계판독 가능한 형태로 개방될 수 있도록 지원한다.</t>
  </si>
  <si>
    <t xml:space="preserve">59-3</t>
  </si>
  <si>
    <t xml:space="preserve">부동산 등기데이터 실시간 공개 검토</t>
  </si>
  <si>
    <t xml:space="preserve">법무부는 법원행정처 등 관계기관과 협의하여 부동산 등기데이터의 실시간 공개의 필요성, 공개에 따른 효과와 잠재적 부작용 및 법적·제도적 고려사항을 ’26년 4분기까지 마련한다.</t>
  </si>
  <si>
    <r>
      <rPr>
        <sz val="11"/>
        <color theme="1"/>
        <rFont val="맑은 고딕"/>
        <family val="2"/>
        <charset val="1"/>
      </rPr>
      <t xml:space="preserve">60 </t>
    </r>
    <r>
      <rPr>
        <sz val="11"/>
        <color theme="1"/>
        <rFont val="Noto Sans CJK SC"/>
        <family val="2"/>
      </rPr>
      <t xml:space="preserve">교사 지원형 </t>
    </r>
    <r>
      <rPr>
        <sz val="11"/>
        <color theme="1"/>
        <rFont val="맑은 고딕"/>
        <family val="2"/>
        <charset val="1"/>
      </rPr>
      <t xml:space="preserve">AI </t>
    </r>
    <r>
      <rPr>
        <sz val="11"/>
        <color theme="1"/>
        <rFont val="Noto Sans CJK SC"/>
        <family val="2"/>
      </rPr>
      <t xml:space="preserve">보조교사 도입 및 </t>
    </r>
    <r>
      <rPr>
        <sz val="11"/>
        <color theme="1"/>
        <rFont val="맑은 고딕"/>
        <family val="2"/>
        <charset val="1"/>
      </rPr>
      <t xml:space="preserve">AI </t>
    </r>
    <r>
      <rPr>
        <sz val="11"/>
        <color theme="1"/>
        <rFont val="Noto Sans CJK SC"/>
        <family val="2"/>
      </rPr>
      <t xml:space="preserve">기반의 교육행정 혁신</t>
    </r>
  </si>
  <si>
    <t xml:space="preserve">60-1</t>
  </si>
  <si>
    <r>
      <rPr>
        <sz val="11"/>
        <color theme="1"/>
        <rFont val="맑은 고딕"/>
        <family val="2"/>
        <charset val="1"/>
      </rPr>
      <t xml:space="preserve">AI </t>
    </r>
    <r>
      <rPr>
        <sz val="11"/>
        <color theme="1"/>
        <rFont val="Noto Sans CJK SC"/>
        <family val="2"/>
      </rPr>
      <t xml:space="preserve">보조교사 및 교무행정 </t>
    </r>
    <r>
      <rPr>
        <sz val="11"/>
        <color theme="1"/>
        <rFont val="맑은 고딕"/>
        <family val="2"/>
        <charset val="1"/>
      </rPr>
      <t xml:space="preserve">AI </t>
    </r>
    <r>
      <rPr>
        <sz val="11"/>
        <color theme="1"/>
        <rFont val="Noto Sans CJK SC"/>
        <family val="2"/>
      </rPr>
      <t xml:space="preserve">개발</t>
    </r>
  </si>
  <si>
    <t xml:space="preserve">교육부는 ’26년 3분기까지 학교 현장에서 반복적으로 수행되는 행정업무를 중심으로 AI 적용 가능 과제를 발굴하고, 이를 반영한 ISP를 통해 AI 보조교사(튜터) 및 교무행정 AI 개발 사업의 기술 범위와 예산 구조를 확정하여 ’27년 예산 계획에 반영하고, ’27년 2분기까지 AI 튜터를 포함한 AI기술의 교육적 활용에 대한 윤리·정책 가이드라인을 마련한다. 이와 함께 국가 AI 파운데이션 모델 및 민관LLM을 활용할 수 있도록 국가 AI 파운데이션 모델 개발 상황에 맞춰 해당 모델을 연계하는 기술 개발을 병행하며, ’27년 4분기에는 AI 튜터·행정지원 시스템의 프로토타입을 공개하고 기술 검증을 실시한다. 과기정통부는 국가 AI 파운데이션 모델에 필요한 기술 개발을 지원한다.</t>
  </si>
  <si>
    <t xml:space="preserve">60-2</t>
  </si>
  <si>
    <r>
      <rPr>
        <sz val="11"/>
        <color theme="1"/>
        <rFont val="맑은 고딕"/>
        <family val="2"/>
        <charset val="1"/>
      </rPr>
      <t xml:space="preserve">AI·</t>
    </r>
    <r>
      <rPr>
        <sz val="11"/>
        <color theme="1"/>
        <rFont val="Noto Sans CJK SC"/>
        <family val="2"/>
      </rPr>
      <t xml:space="preserve">디지털 기술의 학교 현장 활용 지원</t>
    </r>
  </si>
  <si>
    <t xml:space="preserve">교육부는 ’26년 1분기부터 학교 현장에서 필요한 AI·디지털 기술을 수업에 활용할 수 있도록 지원하고, 교사가 이를 원활히 운영할 수 있도록 연수를 진행하며, ’27년 3분기에는 AI 교무행정 시스템을 학교 현장에 시범 도입하고 활용성 평가를 실시한다.</t>
  </si>
  <si>
    <t xml:space="preserve">60-3</t>
  </si>
  <si>
    <t xml:space="preserve">산업 협력 기반 AI 보조교사 서비스 개발</t>
  </si>
  <si>
    <t xml:space="preserve">산업부는 ’26년 4분기까지 민간 에듀테크 기업이 AI 보조교사 서비스 개발에 참여할 수 있는 산업 협력 모델을 설계하고, ’27년 1분기부터 기술 검증 및 품질 평가를 통해 상용화·조달 연계를 추진한다.</t>
  </si>
  <si>
    <t xml:space="preserve">60-4</t>
  </si>
  <si>
    <t xml:space="preserve">교사 대상 AI 활용 연수 및 현장 적용</t>
  </si>
  <si>
    <t xml:space="preserve">교육부와 시도교육청은 ’26년 2분기부터 교사 대상 AI 활용 연수를 실시하고, ’28년 1분기부터 연구·선도학교 등을 통해 AI 교사 보조 및 행정 지원 시스템을 실험·피드백하여 현장 적용 모델을 마련한다.</t>
  </si>
  <si>
    <r>
      <rPr>
        <sz val="11"/>
        <color theme="1"/>
        <rFont val="맑은 고딕"/>
        <family val="2"/>
        <charset val="1"/>
      </rPr>
      <t xml:space="preserve">61 </t>
    </r>
    <r>
      <rPr>
        <sz val="11"/>
        <color theme="1"/>
        <rFont val="Noto Sans CJK SC"/>
        <family val="2"/>
      </rPr>
      <t xml:space="preserve">국내 </t>
    </r>
    <r>
      <rPr>
        <sz val="11"/>
        <color theme="1"/>
        <rFont val="맑은 고딕"/>
        <family val="2"/>
        <charset val="1"/>
      </rPr>
      <t xml:space="preserve">AI</t>
    </r>
    <r>
      <rPr>
        <sz val="11"/>
        <color theme="1"/>
        <rFont val="Noto Sans CJK SC"/>
        <family val="2"/>
      </rPr>
      <t xml:space="preserve">실증･고도화의 마중물</t>
    </r>
    <r>
      <rPr>
        <sz val="11"/>
        <color theme="1"/>
        <rFont val="맑은 고딕"/>
        <family val="2"/>
        <charset val="1"/>
      </rPr>
      <t xml:space="preserve">, </t>
    </r>
    <r>
      <rPr>
        <sz val="11"/>
        <color theme="1"/>
        <rFont val="Noto Sans CJK SC"/>
        <family val="2"/>
      </rPr>
      <t xml:space="preserve">공공시장의 </t>
    </r>
    <r>
      <rPr>
        <sz val="11"/>
        <color theme="1"/>
        <rFont val="맑은 고딕"/>
        <family val="2"/>
        <charset val="1"/>
      </rPr>
      <t xml:space="preserve">AI </t>
    </r>
    <r>
      <rPr>
        <sz val="11"/>
        <color theme="1"/>
        <rFont val="Noto Sans CJK SC"/>
        <family val="2"/>
      </rPr>
      <t xml:space="preserve">테스트베드화</t>
    </r>
  </si>
  <si>
    <t xml:space="preserve">61-1</t>
  </si>
  <si>
    <t xml:space="preserve">공공 AI 사업 지원센터 역할 정립 및 운영</t>
  </si>
  <si>
    <t xml:space="preserve">행안부는 조달청, 과기정통부, 중기부, 재정경제부, 국정원 등 관계 부처와 협력하여 공공시장이 국내 AI의 테스트베드로 활용될 수 있도록, 타 부처 사업과의 중복성 검토, 공공AI사업지원센터의 역할 및 운영 기반과 민간 제안 절차, 예산 확보 방안을 ’26년 1분기까지 마련한다.</t>
  </si>
  <si>
    <t xml:space="preserve">과기정통부, 재경부, 국정원, 조달청, 중기부</t>
  </si>
  <si>
    <t xml:space="preserve">61-2</t>
  </si>
  <si>
    <t xml:space="preserve">민간 제안 과제 접수·평가 절차 등 마련</t>
  </si>
  <si>
    <t xml:space="preserve">과기정통부와 행안부는 민간 제안 과제의 접수·평가 절차 및 POC 수행 기준을 ’26년 1분기까지 마련한다.</t>
  </si>
  <si>
    <r>
      <rPr>
        <sz val="11"/>
        <color theme="1"/>
        <rFont val="맑은 고딕"/>
        <family val="2"/>
        <charset val="1"/>
      </rPr>
      <t xml:space="preserve">62 K-Gov AX </t>
    </r>
    <r>
      <rPr>
        <sz val="11"/>
        <color theme="1"/>
        <rFont val="Noto Sans CJK SC"/>
        <family val="2"/>
      </rPr>
      <t xml:space="preserve">모델의 글로벌 확산</t>
    </r>
    <r>
      <rPr>
        <sz val="11"/>
        <color theme="1"/>
        <rFont val="맑은 고딕"/>
        <family val="2"/>
        <charset val="1"/>
      </rPr>
      <t xml:space="preserve">, K-AI </t>
    </r>
    <r>
      <rPr>
        <sz val="11"/>
        <color theme="1"/>
        <rFont val="Noto Sans CJK SC"/>
        <family val="2"/>
      </rPr>
      <t xml:space="preserve">얼라이언스 구성</t>
    </r>
  </si>
  <si>
    <t xml:space="preserve">62-1</t>
  </si>
  <si>
    <r>
      <rPr>
        <sz val="11"/>
        <color theme="1"/>
        <rFont val="맑은 고딕"/>
        <family val="2"/>
        <charset val="1"/>
      </rPr>
      <t xml:space="preserve">K-Gov AX </t>
    </r>
    <r>
      <rPr>
        <sz val="11"/>
        <color theme="1"/>
        <rFont val="Noto Sans CJK SC"/>
        <family val="2"/>
      </rPr>
      <t xml:space="preserve">모델 단계적 글로벌 확산</t>
    </r>
  </si>
  <si>
    <t xml:space="preserve">행안부는 글로벌 확산을 위해 ▲과기정통부, 외교부 등 관계기관과 협력하여 범부처, 기업, 학계가 참여하는 ‘K-AI 얼라이언스’를 구성하고, ▲관련 계획 및 참여기관별 역할과 산출물(binding deliverables)을 명시한 MOU·계약서를 ’26년 2분기까지 국가AI전략위에 제출한다. 이후 행안부는 K-AI 얼라이언스를 통해 글로벌 확산을 하려고 하는 ‘K-Gov AX 모델’이 무엇인지를 ’26년 3분기까지 구체화하고, ’26년 4분기부터 PMF(Product–Market Fit) 검증 절차 착수(4Q), 중간 점검(+1Q, +2Q), 최종 평가 및 의향서(LOI, Letter of Intent) 확보 결과(+3Q)를 포함한 분기별 산출물 제출 의무(Binding Schedule)를 이행한다.</t>
  </si>
  <si>
    <t xml:space="preserve">국가AI전략위, 과기정통부, 외교부</t>
  </si>
  <si>
    <r>
      <rPr>
        <sz val="11"/>
        <color theme="1"/>
        <rFont val="맑은 고딕"/>
        <family val="2"/>
        <charset val="1"/>
      </rPr>
      <t xml:space="preserve">63 </t>
    </r>
    <r>
      <rPr>
        <sz val="11"/>
        <color theme="1"/>
        <rFont val="Noto Sans CJK SC"/>
        <family val="2"/>
      </rPr>
      <t xml:space="preserve">공공</t>
    </r>
    <r>
      <rPr>
        <sz val="11"/>
        <color theme="1"/>
        <rFont val="맑은 고딕"/>
        <family val="2"/>
        <charset val="1"/>
      </rPr>
      <t xml:space="preserve">AX </t>
    </r>
    <r>
      <rPr>
        <sz val="11"/>
        <color theme="1"/>
        <rFont val="Noto Sans CJK SC"/>
        <family val="2"/>
      </rPr>
      <t xml:space="preserve">거버넌스 및 실행체계 구축</t>
    </r>
  </si>
  <si>
    <t xml:space="preserve">63-1</t>
  </si>
  <si>
    <r>
      <rPr>
        <sz val="11"/>
        <color theme="1"/>
        <rFont val="맑은 고딕"/>
        <family val="2"/>
        <charset val="1"/>
      </rPr>
      <t xml:space="preserve">AI-Native </t>
    </r>
    <r>
      <rPr>
        <sz val="11"/>
        <color theme="1"/>
        <rFont val="Noto Sans CJK SC"/>
        <family val="2"/>
      </rPr>
      <t xml:space="preserve">정부 구현 거버넌스 체계 수립</t>
    </r>
  </si>
  <si>
    <t xml:space="preserve">국가AI전략위는 AI-Native 정부 구현을 위해 행안부, 조달청, 인사처 등 관계부처와 협력하여 필요한 새로운 거버넌스 체계방안(AI에 적합한 새로운 조달체계, CTO제도 도입을 포함한 민간전문가의 정부 유입방안, 개발과 운영을 함께 포괄할 수 있는 새로운 운영체계를 포함)을 ’26년 2분기까지 수립한다.</t>
  </si>
  <si>
    <t xml:space="preserve">인사처, 조달청, 행안부</t>
  </si>
  <si>
    <t xml:space="preserve">63-2</t>
  </si>
  <si>
    <t xml:space="preserve">국가정보 관리 시스템 근본적 재설계</t>
  </si>
  <si>
    <t xml:space="preserve">국가AI전략위는 행안부 등 관계부처와 협력하여 국가정보 관리 시스템을 근본적으로 재설계하기 위한 근본적 대책을 ’26년 1분기까지 마련한다.</t>
  </si>
  <si>
    <r>
      <rPr>
        <sz val="11"/>
        <color theme="1"/>
        <rFont val="맑은 고딕"/>
        <family val="2"/>
        <charset val="1"/>
      </rPr>
      <t xml:space="preserve">64 </t>
    </r>
    <r>
      <rPr>
        <sz val="11"/>
        <color theme="1"/>
        <rFont val="Noto Sans CJK SC"/>
        <family val="2"/>
      </rPr>
      <t xml:space="preserve">공공부문에서의 </t>
    </r>
    <r>
      <rPr>
        <sz val="11"/>
        <color theme="1"/>
        <rFont val="맑은 고딕"/>
        <family val="2"/>
        <charset val="1"/>
      </rPr>
      <t xml:space="preserve">AI</t>
    </r>
    <r>
      <rPr>
        <sz val="11"/>
        <color theme="1"/>
        <rFont val="Noto Sans CJK SC"/>
        <family val="2"/>
      </rPr>
      <t xml:space="preserve">･디지털 포용성 확대</t>
    </r>
  </si>
  <si>
    <t xml:space="preserve">64-1</t>
  </si>
  <si>
    <r>
      <rPr>
        <sz val="11"/>
        <color theme="1"/>
        <rFont val="맑은 고딕"/>
        <family val="2"/>
        <charset val="1"/>
      </rPr>
      <t xml:space="preserve">AI·</t>
    </r>
    <r>
      <rPr>
        <sz val="11"/>
        <color theme="1"/>
        <rFont val="Noto Sans CJK SC"/>
        <family val="2"/>
      </rPr>
      <t xml:space="preserve">디지털포용 예산사업 점검체계 마련</t>
    </r>
  </si>
  <si>
    <t xml:space="preserve">과기정통부‧기획예산처는 신규 예산사업의 편성 및 기존 사업의 평가(중간‧최종평가 등) 시 AI‧디지털포용을 직접적인 목적으로 하고 있거나 디지털포용 영향평가 결과 전 국민의 포용성에 미치는 영향이 크다고 인정되는 경우, 이를 점검 후 개선‧보완‧조정 혹은 인센티브를 부여할 수 있는 방안을 ’26년 4분기까지 마련하여 ’27년부터 시행하여야 한다.</t>
  </si>
  <si>
    <t xml:space="preserve">64-2</t>
  </si>
  <si>
    <t xml:space="preserve">유망 AI·디지털포용 기술‧제품‧서비스 조달 인센티브 부여</t>
  </si>
  <si>
    <t xml:space="preserve">조달청은 과기정통부 등과 협력하여 유망 AI‧디지털포용기술‧제품‧서비스로 선정된 조달 대상 품목에 대해 가산점 부여 등 인센티브를 부여하는 방안을 ’26년 3분기까지 마련해야 한다.</t>
  </si>
  <si>
    <t xml:space="preserve">조달청</t>
  </si>
  <si>
    <t xml:space="preserve">64-3</t>
  </si>
  <si>
    <t xml:space="preserve">디지털 취약계층 대상 AI·디지털포용 기술‧서비스 포함 제품 별도 조회 서비스 제공</t>
  </si>
  <si>
    <t xml:space="preserve">조달청은 나라장터 시스템을 통해 장애인‧고령자 등 디지털취약계층을 위한 AI‧디지털 포용기술‧서비스가 포함된 제품 등이 별도로 조회될 수 있는 서비스를 ’27년 1분기부터 제공한다.</t>
  </si>
  <si>
    <t xml:space="preserve">전략분야 8) 지역 AX</t>
  </si>
  <si>
    <r>
      <rPr>
        <sz val="11"/>
        <color theme="1"/>
        <rFont val="맑은 고딕"/>
        <family val="2"/>
        <charset val="1"/>
      </rPr>
      <t xml:space="preserve">65 5</t>
    </r>
    <r>
      <rPr>
        <sz val="11"/>
        <color theme="1"/>
        <rFont val="Noto Sans CJK SC"/>
        <family val="2"/>
      </rPr>
      <t xml:space="preserve">극 </t>
    </r>
    <r>
      <rPr>
        <sz val="11"/>
        <color theme="1"/>
        <rFont val="맑은 고딕"/>
        <family val="2"/>
        <charset val="1"/>
      </rPr>
      <t xml:space="preserve">3</t>
    </r>
    <r>
      <rPr>
        <sz val="11"/>
        <color theme="1"/>
        <rFont val="Noto Sans CJK SC"/>
        <family val="2"/>
      </rPr>
      <t xml:space="preserve">특 </t>
    </r>
    <r>
      <rPr>
        <sz val="11"/>
        <color theme="1"/>
        <rFont val="맑은 고딕"/>
        <family val="2"/>
        <charset val="1"/>
      </rPr>
      <t xml:space="preserve">K-AI </t>
    </r>
    <r>
      <rPr>
        <sz val="11"/>
        <color theme="1"/>
        <rFont val="Noto Sans CJK SC"/>
        <family val="2"/>
      </rPr>
      <t xml:space="preserve">특화 시범도시를 조성하여 대표 </t>
    </r>
    <r>
      <rPr>
        <sz val="11"/>
        <color theme="1"/>
        <rFont val="맑은 고딕"/>
        <family val="2"/>
        <charset val="1"/>
      </rPr>
      <t xml:space="preserve">AI </t>
    </r>
    <r>
      <rPr>
        <sz val="11"/>
        <color theme="1"/>
        <rFont val="Noto Sans CJK SC"/>
        <family val="2"/>
      </rPr>
      <t xml:space="preserve">융합 도시로 육성</t>
    </r>
  </si>
  <si>
    <t xml:space="preserve">65-1</t>
  </si>
  <si>
    <r>
      <rPr>
        <sz val="11"/>
        <color theme="1"/>
        <rFont val="맑은 고딕"/>
        <family val="2"/>
        <charset val="1"/>
      </rPr>
      <t xml:space="preserve">K-AI </t>
    </r>
    <r>
      <rPr>
        <sz val="11"/>
        <color theme="1"/>
        <rFont val="Noto Sans CJK SC"/>
        <family val="2"/>
      </rPr>
      <t xml:space="preserve">특화 시범도시 조성</t>
    </r>
  </si>
  <si>
    <t xml:space="preserve">지역 특위</t>
  </si>
  <si>
    <t xml:space="preserve">국토부는 과기정통부, 산업부, 행안부, 중기부 등 관계 부처와 협력해 지역 특성에 맞는 도시·건축 규제 완화, AI 스마트서비스 상용화, AI 기반 교통관제, 글로벌 기업 유치, 정주 계획 등을 포괄한 ｢K-AI 특화 시범도시 조성 계획｣을 ’26년 2분기까지 수립한다. 동 계획에는 ①AI로 지역 산업과 도시를 연계·통합하는 지역 주도 AI 도시 생태계 조성, ②데이터 기반 행정과 시민 참여형 플랫폼 구축을 통한 AI·데이터·산업·생활 서비스의 유기적 통합 모델 개발, ③모델의 글로벌 표준 확산 전략이 포함되어야 한다.</t>
  </si>
  <si>
    <t xml:space="preserve">과기정통부, 산업부, 중기부, 행안부</t>
  </si>
  <si>
    <t xml:space="preserve">65-2</t>
  </si>
  <si>
    <r>
      <rPr>
        <sz val="11"/>
        <color theme="1"/>
        <rFont val="맑은 고딕"/>
        <family val="2"/>
        <charset val="1"/>
      </rPr>
      <t xml:space="preserve">K-AI </t>
    </r>
    <r>
      <rPr>
        <sz val="11"/>
        <color theme="1"/>
        <rFont val="Noto Sans CJK SC"/>
        <family val="2"/>
      </rPr>
      <t xml:space="preserve">특화 도시 단계적 고도화</t>
    </r>
  </si>
  <si>
    <t xml:space="preserve">국토부는 과기정통부, 산업부, 행안부, 중기부 등 관계 부처와 협력해 K-AI 특화 도시 운영 모델을 개발하고 산업·교통·에너지·안전·환경·행정 전 분야의 AI 실증·상용화를 ’26년 3분기부터 ’30년까지 단계적으로 추진한다. 이를 위해 1단계에서는 도시 규제 특례구역을 지정해 기반 인프라를 구축하고, 2단계에서는 도시 데이터를 통합해 AI 교통관제와 생활 서비스를 상용화하며, 3단계에서는 K-AI 특화도시의 글로벌 표준화와 권역별 연계를 추진한다.</t>
  </si>
  <si>
    <r>
      <rPr>
        <sz val="11"/>
        <color theme="1"/>
        <rFont val="맑은 고딕"/>
        <family val="2"/>
        <charset val="1"/>
      </rPr>
      <t xml:space="preserve">66 5</t>
    </r>
    <r>
      <rPr>
        <sz val="11"/>
        <color theme="1"/>
        <rFont val="Noto Sans CJK SC"/>
        <family val="2"/>
      </rPr>
      <t xml:space="preserve">극 </t>
    </r>
    <r>
      <rPr>
        <sz val="11"/>
        <color theme="1"/>
        <rFont val="맑은 고딕"/>
        <family val="2"/>
        <charset val="1"/>
      </rPr>
      <t xml:space="preserve">3</t>
    </r>
    <r>
      <rPr>
        <sz val="11"/>
        <color theme="1"/>
        <rFont val="Noto Sans CJK SC"/>
        <family val="2"/>
      </rPr>
      <t xml:space="preserve">특 권역별 성장엔진에 기반한 </t>
    </r>
    <r>
      <rPr>
        <sz val="11"/>
        <color theme="1"/>
        <rFont val="맑은 고딕"/>
        <family val="2"/>
        <charset val="1"/>
      </rPr>
      <t xml:space="preserve">AX </t>
    </r>
    <r>
      <rPr>
        <sz val="11"/>
        <color theme="1"/>
        <rFont val="Noto Sans CJK SC"/>
        <family val="2"/>
      </rPr>
      <t xml:space="preserve">혁신 벨트 조성</t>
    </r>
  </si>
  <si>
    <t xml:space="preserve">66-1</t>
  </si>
  <si>
    <r>
      <rPr>
        <sz val="11"/>
        <color theme="1"/>
        <rFont val="맑은 고딕"/>
        <family val="2"/>
        <charset val="1"/>
      </rPr>
      <t xml:space="preserve">5</t>
    </r>
    <r>
      <rPr>
        <sz val="11"/>
        <color theme="1"/>
        <rFont val="Noto Sans CJK SC"/>
        <family val="2"/>
      </rPr>
      <t xml:space="preserve">극 </t>
    </r>
    <r>
      <rPr>
        <sz val="11"/>
        <color theme="1"/>
        <rFont val="맑은 고딕"/>
        <family val="2"/>
        <charset val="1"/>
      </rPr>
      <t xml:space="preserve">3</t>
    </r>
    <r>
      <rPr>
        <sz val="11"/>
        <color theme="1"/>
        <rFont val="Noto Sans CJK SC"/>
        <family val="2"/>
      </rPr>
      <t xml:space="preserve">특 권역별 성장엔진 발굴 및 육성방안 마련</t>
    </r>
  </si>
  <si>
    <t xml:space="preserve">산업부는 국가 산업 전략, 지역 여건 등을 균형 있게 고려하고, 중앙·지방정부 협의 및 지방시대위원회 심의를 거쳐 5극 3특 권역별 성장엔진을 발굴하고 육성 방안을 마련한다.</t>
  </si>
  <si>
    <t xml:space="preserve">66-2</t>
  </si>
  <si>
    <r>
      <rPr>
        <sz val="11"/>
        <color theme="1"/>
        <rFont val="맑은 고딕"/>
        <family val="2"/>
        <charset val="1"/>
      </rPr>
      <t xml:space="preserve">5</t>
    </r>
    <r>
      <rPr>
        <sz val="11"/>
        <color theme="1"/>
        <rFont val="Noto Sans CJK SC"/>
        <family val="2"/>
      </rPr>
      <t xml:space="preserve">극 </t>
    </r>
    <r>
      <rPr>
        <sz val="11"/>
        <color theme="1"/>
        <rFont val="맑은 고딕"/>
        <family val="2"/>
        <charset val="1"/>
      </rPr>
      <t xml:space="preserve">3</t>
    </r>
    <r>
      <rPr>
        <sz val="11"/>
        <color theme="1"/>
        <rFont val="Noto Sans CJK SC"/>
        <family val="2"/>
      </rPr>
      <t xml:space="preserve">특 권역별 성장엔진 연계 </t>
    </r>
    <r>
      <rPr>
        <sz val="11"/>
        <color theme="1"/>
        <rFont val="맑은 고딕"/>
        <family val="2"/>
        <charset val="1"/>
      </rPr>
      <t xml:space="preserve">AX </t>
    </r>
    <r>
      <rPr>
        <sz val="11"/>
        <color theme="1"/>
        <rFont val="Noto Sans CJK SC"/>
        <family val="2"/>
      </rPr>
      <t xml:space="preserve">특화산업 육성</t>
    </r>
  </si>
  <si>
    <t xml:space="preserve"> 과기정통부는 산업부, 기후부, 중기부, 노동부 등과 협력하여, 개별 거점 중심의 기존 ‘혁신 특구 조성’ 방식에서 나아가 AX 특화산업이 지역 균형발전의 핵심 동력으로 작동할 수 있도록 5극 3특 권역별 성장엔진과 연계한 ｢AX 특화산업 육성계획｣을 ’26년 1분기까지 마련하되, 동 육성계획에는 ①이미 선정된 광주(AX 실증 밸리), 대구(AX 기술개발), 전북(협업지능 피지컬 AI), 경남(LAM 기술개발·실증) 지역의 AX 사업이 포함되어야 하며, ②다른 권역도 AX 준비 현황과 권역별 성장엔진 특성 등을 고려해 순차적으로 사업을 추진하는 방안이 포함되어야 한다.</t>
  </si>
  <si>
    <t xml:space="preserve">기후부, 노동부, 산업부, 중기부</t>
  </si>
  <si>
    <t xml:space="preserve">66-3</t>
  </si>
  <si>
    <r>
      <rPr>
        <sz val="11"/>
        <color theme="1"/>
        <rFont val="맑은 고딕"/>
        <family val="2"/>
        <charset val="1"/>
      </rPr>
      <t xml:space="preserve">AI </t>
    </r>
    <r>
      <rPr>
        <sz val="11"/>
        <color theme="1"/>
        <rFont val="Noto Sans CJK SC"/>
        <family val="2"/>
      </rPr>
      <t xml:space="preserve">집적단지 지정</t>
    </r>
    <r>
      <rPr>
        <sz val="11"/>
        <color theme="1"/>
        <rFont val="맑은 고딕"/>
        <family val="2"/>
        <charset val="1"/>
      </rPr>
      <t xml:space="preserve">·</t>
    </r>
    <r>
      <rPr>
        <sz val="11"/>
        <color theme="1"/>
        <rFont val="Noto Sans CJK SC"/>
        <family val="2"/>
      </rPr>
      <t xml:space="preserve">지원</t>
    </r>
  </si>
  <si>
    <t xml:space="preserve">과기정통부는 지역 내 AI 산업의 진흥·개발·활용을 촉진하기 위해 AI 기술의 연구 개발을 수행하는 기업·기관·단체의 기능적·물리적·지역적 집적화가 필요하다는 인식 하에서 ｢인공지능 발전과 신뢰 기반 조성 등에 관한 기본법｣ 제23조에 따라 ｢AI 집적단지 지정 및 관리지침｣과 ｢AI 집적단지 지원방안｣을 ’26년 하반기까지 마련하고, ‘27년 상반기부터 추진하되 ｢AI 집적단지 지원방안｣에는 AI 집적단지를 AI 기술개발, 실증, 규제 개선 등 행정적·재정적으로 지원하는 내용이 포함되어야 한다.</t>
  </si>
  <si>
    <r>
      <rPr>
        <sz val="11"/>
        <color theme="1"/>
        <rFont val="맑은 고딕"/>
        <family val="2"/>
        <charset val="1"/>
      </rPr>
      <t xml:space="preserve">67 </t>
    </r>
    <r>
      <rPr>
        <sz val="11"/>
        <color theme="1"/>
        <rFont val="Noto Sans CJK SC"/>
        <family val="2"/>
      </rPr>
      <t xml:space="preserve">지역 산단을 지역 </t>
    </r>
    <r>
      <rPr>
        <sz val="11"/>
        <color theme="1"/>
        <rFont val="맑은 고딕"/>
        <family val="2"/>
        <charset val="1"/>
      </rPr>
      <t xml:space="preserve">AX </t>
    </r>
    <r>
      <rPr>
        <sz val="11"/>
        <color theme="1"/>
        <rFont val="Noto Sans CJK SC"/>
        <family val="2"/>
      </rPr>
      <t xml:space="preserve">활성화를 위한 산업 인프라 거점으로 탈바꿈</t>
    </r>
  </si>
  <si>
    <t xml:space="preserve">67-1</t>
  </si>
  <si>
    <t xml:space="preserve">지역 AX 생태계 활성화</t>
  </si>
  <si>
    <t xml:space="preserve">산업부는 지방정부가 개별적으로 추진해 온 분절적 지원 방식에서 벗어나 5극 3특 권역별 산업단지를 연계한 초광역 산업 플랫폼을 구축하기 위해 과기정통부, 기후부, 중기부, 국토부와 협력하여 ’26년 2분기까지 ｢지역 AX 생태계 활성화 계획｣을 수립하되, 동 계획에는 ①AX 실증 거점이 될 스마트 그린 산업단지 25개소 지정, ②산업단지 AX에 필요한 전력·통신·GPU·데이터 등 핵심 인프라 조성, ③기업 데이터 거래 활성화를 위한 데이터 스페이스 구축 및 AX 관련 데이터 표준화 지원, ④맞춤형 AX 솔루션 보급과 교육·컨설팅 등 중소기업 지원 방안, ⑤AI 기반 유해 물질 모니터링과 탄소중립 추진 등 친환경 산업단지 조성 방안이 포함되어야 한다.</t>
  </si>
  <si>
    <t xml:space="preserve">과기정통부, 국토부, 기후부, 중기부</t>
  </si>
  <si>
    <t xml:space="preserve">67-2</t>
  </si>
  <si>
    <r>
      <rPr>
        <sz val="11"/>
        <color theme="1"/>
        <rFont val="맑은 고딕"/>
        <family val="2"/>
        <charset val="1"/>
      </rPr>
      <t xml:space="preserve">AI </t>
    </r>
    <r>
      <rPr>
        <sz val="11"/>
        <color theme="1"/>
        <rFont val="Noto Sans CJK SC"/>
        <family val="2"/>
      </rPr>
      <t xml:space="preserve">집적단지</t>
    </r>
    <r>
      <rPr>
        <sz val="11"/>
        <color theme="1"/>
        <rFont val="맑은 고딕"/>
        <family val="2"/>
        <charset val="1"/>
      </rPr>
      <t xml:space="preserve">, AX </t>
    </r>
    <r>
      <rPr>
        <sz val="11"/>
        <color theme="1"/>
        <rFont val="Noto Sans CJK SC"/>
        <family val="2"/>
      </rPr>
      <t xml:space="preserve">특화산업 육성</t>
    </r>
    <r>
      <rPr>
        <sz val="11"/>
        <color theme="1"/>
        <rFont val="맑은 고딕"/>
        <family val="2"/>
        <charset val="1"/>
      </rPr>
      <t xml:space="preserve">, </t>
    </r>
    <r>
      <rPr>
        <sz val="11"/>
        <color theme="1"/>
        <rFont val="Noto Sans CJK SC"/>
        <family val="2"/>
      </rPr>
      <t xml:space="preserve">지역 </t>
    </r>
    <r>
      <rPr>
        <sz val="11"/>
        <color theme="1"/>
        <rFont val="맑은 고딕"/>
        <family val="2"/>
        <charset val="1"/>
      </rPr>
      <t xml:space="preserve">AX </t>
    </r>
    <r>
      <rPr>
        <sz val="11"/>
        <color theme="1"/>
        <rFont val="Noto Sans CJK SC"/>
        <family val="2"/>
      </rPr>
      <t xml:space="preserve">생태계 활성화의 효율적 추진</t>
    </r>
  </si>
  <si>
    <t xml:space="preserve">과기정통부와 산업부는 국가AI전략위, 지방시대위원회와 협력하여 ｢AI 집적단지 구축계획｣, ｢AX 특화산업 육성계획｣ 및 ｢지역 AX 생태계 활성화 계획｣이 중복 없이 효율적으로 추진되고, 5극 3특 권역별 성장엔진과의 정합성을 갖추어 이행될 수 있도록 협의·조정한다.</t>
  </si>
  <si>
    <r>
      <rPr>
        <sz val="11"/>
        <color theme="1"/>
        <rFont val="맑은 고딕"/>
        <family val="2"/>
        <charset val="1"/>
      </rPr>
      <t xml:space="preserve">68 </t>
    </r>
    <r>
      <rPr>
        <sz val="11"/>
        <color theme="1"/>
        <rFont val="Noto Sans CJK SC"/>
        <family val="2"/>
      </rPr>
      <t xml:space="preserve">지역 인재를 활용한 지역 </t>
    </r>
    <r>
      <rPr>
        <sz val="11"/>
        <color theme="1"/>
        <rFont val="맑은 고딕"/>
        <family val="2"/>
        <charset val="1"/>
      </rPr>
      <t xml:space="preserve">AX </t>
    </r>
    <r>
      <rPr>
        <sz val="11"/>
        <color theme="1"/>
        <rFont val="Noto Sans CJK SC"/>
        <family val="2"/>
      </rPr>
      <t xml:space="preserve">기업 육성 및 지역 창업 역량 강화</t>
    </r>
  </si>
  <si>
    <t xml:space="preserve">68-1</t>
  </si>
  <si>
    <t xml:space="preserve">지역 기업 AX 혁신 지원</t>
  </si>
  <si>
    <t xml:space="preserve">중기부는 과기정통부, 산업부, 지방시대위원회, 지방정부와 협의하여 지역 AX 기업이 지역 내 창업 역량과 협력 기업, 연구기관, 인재를 최대한 활용할 수 있는 환경을 조성하기 위한 ｢지역 기업 AX 혁신 지원 방안｣을 ’26년 3분기까지 수립하고, ’27년 1분기부터 추진한다.</t>
  </si>
  <si>
    <t xml:space="preserve">68-2</t>
  </si>
  <si>
    <t xml:space="preserve">지역 기업 글로벌 AI 도약 지원</t>
  </si>
  <si>
    <t xml:space="preserve">중기부는 동 지원 방안에 지역 기업이 세계적 수준의 K-브랜드형 AI 혁신기업으로 도약할 수 있도록, 5극 3특 권역을 중심으로 ①지역 기업의 AI·데이터 기반 경영혁신, ②지역 AX 기업의 글로벌 시장 진출 역량 강화 및 스케일업 전략, ③5극 3특 권역별 대표 AX 기업 발굴 및 기술개발–투자–해외 진출–인재 양성을 연계한 일괄 지원체계 적용, ④지역 AX 선도기업 중심의 상생 모델 구축, ⑤지역 AX 공급기업 육성 및 지역 AX 자원 활용 확산, ⑥지역 AX 기업과 글로벌 기업·투자기관 연계, ⑦5극 3특 권역별 지역 AX 기업의 수출 생태계 조성 등의 내용을 포함하여야 한다.</t>
  </si>
  <si>
    <t xml:space="preserve">68-3</t>
  </si>
  <si>
    <t xml:space="preserve">지역 산업 특화 AI 인재 양성</t>
  </si>
  <si>
    <t xml:space="preserve">산업부는 교육부와 협력하여 지역 산업 특화 분야에 맞는 AI 인재 양성 프로그램을 ’26년 2분기까지 설계하고, ’26년 3분기부터 지역산업체와 협력한 실무형 교육과정을 운영한다.</t>
  </si>
  <si>
    <r>
      <rPr>
        <sz val="11"/>
        <color theme="1"/>
        <rFont val="맑은 고딕"/>
        <family val="2"/>
        <charset val="1"/>
      </rPr>
      <t xml:space="preserve">69 </t>
    </r>
    <r>
      <rPr>
        <sz val="11"/>
        <color theme="1"/>
        <rFont val="Noto Sans CJK SC"/>
        <family val="2"/>
      </rPr>
      <t xml:space="preserve">수요 맞춤형 지역 </t>
    </r>
    <r>
      <rPr>
        <sz val="11"/>
        <color theme="1"/>
        <rFont val="맑은 고딕"/>
        <family val="2"/>
        <charset val="1"/>
      </rPr>
      <t xml:space="preserve">AX </t>
    </r>
    <r>
      <rPr>
        <sz val="11"/>
        <color theme="1"/>
        <rFont val="Noto Sans CJK SC"/>
        <family val="2"/>
      </rPr>
      <t xml:space="preserve">인재 양성 및 정주형 인재 순환 생태계 조성</t>
    </r>
  </si>
  <si>
    <t xml:space="preserve">69-1</t>
  </si>
  <si>
    <t xml:space="preserve">지역 기업 인력 AI 역량 교육</t>
  </si>
  <si>
    <t xml:space="preserve">중기부는 노동부, 과기정통부, 교육부, 산업부, 지방시대위원회와 협력하여 지역 중소기업 임직원의 AI 활용 역량을 강화할 수 있는 ｢지역 기업 인력 AI 역량 교육 계획｣을 ’26년 1분기까지 수립하되, 동 교육 계획은 단순히 AI 활용 방법을 전수하는 것을 넘어 기업별 시스템을 진단하여 이를 AI를 통해 연계·개선하는 데 초점을 맞춘다.</t>
  </si>
  <si>
    <t xml:space="preserve">과기정통부, 교육부, 노동부, 산업부</t>
  </si>
  <si>
    <t xml:space="preserve">69-2</t>
  </si>
  <si>
    <t xml:space="preserve">지역 기업 인력 AI 역량 교육 계획 마련</t>
  </si>
  <si>
    <t xml:space="preserve">중기부는 동 교육 계획에 ①실무 중심의 지역 인재 역량 배양을 통한 지역 내 지속가능한 AI 인력 기반 구축, ②지역 특성화 대학과 지역 기업의 AI 연구 인력을 매칭하고, 지역 특성화 대학 졸업생을 지역 기업 취업에 연계하는 기업수요 맞춤형 연구 인력 양성 체계 마련 등의 내용을 포함하여야 한다.</t>
  </si>
  <si>
    <t xml:space="preserve">전략분야 9) AI기반 문화강국</t>
  </si>
  <si>
    <r>
      <rPr>
        <sz val="11"/>
        <color theme="1"/>
        <rFont val="맑은 고딕"/>
        <family val="2"/>
        <charset val="1"/>
      </rPr>
      <t xml:space="preserve">70 AI </t>
    </r>
    <r>
      <rPr>
        <sz val="11"/>
        <color theme="1"/>
        <rFont val="Noto Sans CJK SC"/>
        <family val="2"/>
      </rPr>
      <t xml:space="preserve">기반 콘텐츠 창작 지원체계 구축 및 창작자 생태계 활성화</t>
    </r>
  </si>
  <si>
    <t xml:space="preserve">70-1</t>
  </si>
  <si>
    <r>
      <rPr>
        <sz val="11"/>
        <color theme="1"/>
        <rFont val="맑은 고딕"/>
        <family val="2"/>
        <charset val="1"/>
      </rPr>
      <t xml:space="preserve">AI </t>
    </r>
    <r>
      <rPr>
        <sz val="11"/>
        <color theme="1"/>
        <rFont val="Noto Sans CJK SC"/>
        <family val="2"/>
      </rPr>
      <t xml:space="preserve">기반 문화콘텐츠 창작</t>
    </r>
    <r>
      <rPr>
        <sz val="11"/>
        <color theme="1"/>
        <rFont val="맑은 고딕"/>
        <family val="2"/>
        <charset val="1"/>
      </rPr>
      <t xml:space="preserve">·</t>
    </r>
    <r>
      <rPr>
        <sz val="11"/>
        <color theme="1"/>
        <rFont val="Noto Sans CJK SC"/>
        <family val="2"/>
      </rPr>
      <t xml:space="preserve">제작자 생태계 활성화</t>
    </r>
  </si>
  <si>
    <t xml:space="preserve">문체부는 창작자가 AI 기술을 적극 활용해 콘텐츠의 질적·양적 성장을 이끄는 혁신 생태계가 조성될 수 있도록 데이터 구축과 창작, 유통과 거래, 수익 배분과 시장 확대를 돕는 AI 기반 문화 생태계 지원체계를 구축하기 위해 ’26년 1분기까지 AI 창작 도구 바우처 사업, 제작 지원, 기술 지원, 공모사업 등의 내용을 포함한 ｢AI 기반 콘텐츠 창작·제작자 생태계 활성화 방안｣을 마련한다.</t>
  </si>
  <si>
    <r>
      <rPr>
        <sz val="11"/>
        <color theme="1"/>
        <rFont val="맑은 고딕"/>
        <family val="2"/>
        <charset val="1"/>
      </rPr>
      <t xml:space="preserve">71 K-</t>
    </r>
    <r>
      <rPr>
        <sz val="11"/>
        <color theme="1"/>
        <rFont val="Noto Sans CJK SC"/>
        <family val="2"/>
      </rPr>
      <t xml:space="preserve">컬처 산업의 </t>
    </r>
    <r>
      <rPr>
        <sz val="11"/>
        <color theme="1"/>
        <rFont val="맑은 고딕"/>
        <family val="2"/>
        <charset val="1"/>
      </rPr>
      <t xml:space="preserve">AX </t>
    </r>
    <r>
      <rPr>
        <sz val="11"/>
        <color theme="1"/>
        <rFont val="Noto Sans CJK SC"/>
        <family val="2"/>
      </rPr>
      <t xml:space="preserve">활성화 지원을 통한 콘텐츠 사업자 육성</t>
    </r>
  </si>
  <si>
    <t xml:space="preserve">71-1</t>
  </si>
  <si>
    <r>
      <rPr>
        <sz val="11"/>
        <color theme="1"/>
        <rFont val="맑은 고딕"/>
        <family val="2"/>
        <charset val="1"/>
      </rPr>
      <t xml:space="preserve">K-</t>
    </r>
    <r>
      <rPr>
        <sz val="11"/>
        <color theme="1"/>
        <rFont val="Noto Sans CJK SC"/>
        <family val="2"/>
      </rPr>
      <t xml:space="preserve">컬처 콘텐츠 사업자 육성</t>
    </r>
  </si>
  <si>
    <t xml:space="preserve">문체부와 과기정통부, 방미통위는 콘텐츠 사업자들이 AI 기술을 활용해 차세대 경쟁력을 갖출 수 있도록 자금과 기술을 지원하는 ｢K-컬처 콘텐츠 사업자 육성 방안｣을 ’26년 2분기까지 수립한다.</t>
  </si>
  <si>
    <t xml:space="preserve">문체부, 과기정통부, 방미통위</t>
  </si>
  <si>
    <t xml:space="preserve">71-2</t>
  </si>
  <si>
    <r>
      <rPr>
        <sz val="11"/>
        <color theme="1"/>
        <rFont val="맑은 고딕"/>
        <family val="2"/>
        <charset val="1"/>
      </rPr>
      <t xml:space="preserve">K-</t>
    </r>
    <r>
      <rPr>
        <sz val="11"/>
        <color theme="1"/>
        <rFont val="Noto Sans CJK SC"/>
        <family val="2"/>
      </rPr>
      <t xml:space="preserve">컬처 콘텐츠 사업자 육성방안 마련</t>
    </r>
  </si>
  <si>
    <t xml:space="preserve">문체부는 동 육성 방안에 ①콘텐츠 사업자들이 AI 기술을 활용해 차세대 경쟁력을 갖출 수 있도록 ｢AI 콘텐츠 펀드(가칭)｣ 조성, ②펀드 자금을 IP 소유 콘텐츠 기업과 AI 기업 간의 협력사업에 지원, ③콘텐츠 기업·미디어의 AI 기반 제작 프로세스 혁신과 사례 확산, ④중소 창작기업이 AI 도구·인프라를 원활하게 활용할 수 있는 ‘창작 플랫폼’ 구축, ⑤영상ㆍ게임 제작 환경 AX 촉진 등의 내용을 포함하여야 한다.</t>
  </si>
  <si>
    <t xml:space="preserve">71-3</t>
  </si>
  <si>
    <r>
      <rPr>
        <sz val="11"/>
        <color theme="1"/>
        <rFont val="맑은 고딕"/>
        <family val="2"/>
        <charset val="1"/>
      </rPr>
      <t xml:space="preserve">AI·</t>
    </r>
    <r>
      <rPr>
        <sz val="11"/>
        <color theme="1"/>
        <rFont val="Noto Sans CJK SC"/>
        <family val="2"/>
      </rPr>
      <t xml:space="preserve">디지털 기술 기반 방송</t>
    </r>
    <r>
      <rPr>
        <sz val="11"/>
        <color theme="1"/>
        <rFont val="맑은 고딕"/>
        <family val="2"/>
        <charset val="1"/>
      </rPr>
      <t xml:space="preserve">·</t>
    </r>
    <r>
      <rPr>
        <sz val="11"/>
        <color theme="1"/>
        <rFont val="Noto Sans CJK SC"/>
        <family val="2"/>
      </rPr>
      <t xml:space="preserve">미디어 산업 생태계 혁신 지원</t>
    </r>
  </si>
  <si>
    <t xml:space="preserve">방미통위는 AI·디지털 기술을 방송·미디어 제작 全 주기에 적용하여 방송·미디어 산업 생태계 혁신을 지원한다.	 방미통위는 방송콘텐츠 분야 특화 AI 모델 개발 등을 위해 영상 자료를 AI 학습용 데이터로 구축하고, AI·디지털 기술을 적용한 방송콘텐츠 제작·유통을 지원하며, 방송·AI 융합인재를 양성하고 방송콘텐츠 제작 자동화 및 이용자 맞춤형 콘텐츠 제공 등을 위한 핵심기술을 개발·확산한다.</t>
  </si>
  <si>
    <r>
      <rPr>
        <sz val="11"/>
        <color theme="1"/>
        <rFont val="맑은 고딕"/>
        <family val="2"/>
        <charset val="1"/>
      </rPr>
      <t xml:space="preserve">72 AI </t>
    </r>
    <r>
      <rPr>
        <sz val="11"/>
        <color theme="1"/>
        <rFont val="Noto Sans CJK SC"/>
        <family val="2"/>
      </rPr>
      <t xml:space="preserve">선도 적용으로 </t>
    </r>
    <r>
      <rPr>
        <sz val="11"/>
        <color theme="1"/>
        <rFont val="맑은 고딕"/>
        <family val="2"/>
        <charset val="1"/>
      </rPr>
      <t xml:space="preserve">K-</t>
    </r>
    <r>
      <rPr>
        <sz val="11"/>
        <color theme="1"/>
        <rFont val="Noto Sans CJK SC"/>
        <family val="2"/>
      </rPr>
      <t xml:space="preserve">문화콘텐츠 산업의 지속적 성장 가능성 확보</t>
    </r>
  </si>
  <si>
    <t xml:space="preserve">72-1</t>
  </si>
  <si>
    <r>
      <rPr>
        <sz val="11"/>
        <color theme="1"/>
        <rFont val="맑은 고딕"/>
        <family val="2"/>
        <charset val="1"/>
      </rPr>
      <t xml:space="preserve">K-</t>
    </r>
    <r>
      <rPr>
        <sz val="11"/>
        <color theme="1"/>
        <rFont val="Noto Sans CJK SC"/>
        <family val="2"/>
      </rPr>
      <t xml:space="preserve">문화콘텐츠 산업 </t>
    </r>
    <r>
      <rPr>
        <sz val="11"/>
        <color theme="1"/>
        <rFont val="맑은 고딕"/>
        <family val="2"/>
        <charset val="1"/>
      </rPr>
      <t xml:space="preserve">AX</t>
    </r>
  </si>
  <si>
    <t xml:space="preserve">문체부는 한국 문화콘텐츠 산업의 세계적 경쟁력을 기반으로 AI를 선도적으로 적용함으로써 AI 시대에도 글로벌 시장을 주도하는 문화산업 경쟁력을 유지·강화하고 지속적 성장 가능성을 확보할 수 있도록 ’26년 2분기까지 ｢K-문화콘텐츠 산업 AX 발전 전략｣을 수립한다.</t>
  </si>
  <si>
    <t xml:space="preserve">72-2</t>
  </si>
  <si>
    <r>
      <rPr>
        <sz val="11"/>
        <color theme="1"/>
        <rFont val="맑은 고딕"/>
        <family val="2"/>
        <charset val="1"/>
      </rPr>
      <t xml:space="preserve">K-</t>
    </r>
    <r>
      <rPr>
        <sz val="11"/>
        <color theme="1"/>
        <rFont val="Noto Sans CJK SC"/>
        <family val="2"/>
      </rPr>
      <t xml:space="preserve">문화콘텐츠 산업 </t>
    </r>
    <r>
      <rPr>
        <sz val="11"/>
        <color theme="1"/>
        <rFont val="맑은 고딕"/>
        <family val="2"/>
        <charset val="1"/>
      </rPr>
      <t xml:space="preserve">AX </t>
    </r>
    <r>
      <rPr>
        <sz val="11"/>
        <color theme="1"/>
        <rFont val="Noto Sans CJK SC"/>
        <family val="2"/>
      </rPr>
      <t xml:space="preserve">전략 수립</t>
    </r>
  </si>
  <si>
    <t xml:space="preserve">문체부는 동 발전 전략에 ①우리 문화콘텐츠 산업 경쟁력 진단에 기반한 발전 방향 제시, ②해외기업으로부터 국내 문화산업 지적재산권 보호, ③AI 콘텐츠 스타트업의 성장 단계별 맞춤형 지원, ④AI 크리에이터와 AI 융합형 전문 인력 양성, ⑤기존 문화콘텐츠에 AI를 결합해 새로운 문화 접점 및 경험을 제공하는 버추얼 콘서트, 디지털 휴먼 등의 신사업 발굴, ⑥콘텐츠 대기업의 AX 성공 사례와 기술·경험을 문화 산업 내에 체계적으로 확산 등의 내용을 포함하여야 한다.</t>
  </si>
  <si>
    <r>
      <rPr>
        <sz val="11"/>
        <color theme="1"/>
        <rFont val="맑은 고딕"/>
        <family val="2"/>
        <charset val="1"/>
      </rPr>
      <t xml:space="preserve">73 K-</t>
    </r>
    <r>
      <rPr>
        <sz val="11"/>
        <color theme="1"/>
        <rFont val="Noto Sans CJK SC"/>
        <family val="2"/>
      </rPr>
      <t xml:space="preserve">콘텐츠와 </t>
    </r>
    <r>
      <rPr>
        <sz val="11"/>
        <color theme="1"/>
        <rFont val="맑은 고딕"/>
        <family val="2"/>
        <charset val="1"/>
      </rPr>
      <t xml:space="preserve">K-AI</t>
    </r>
    <r>
      <rPr>
        <sz val="11"/>
        <color theme="1"/>
        <rFont val="Noto Sans CJK SC"/>
        <family val="2"/>
      </rPr>
      <t xml:space="preserve">의 동반 해외 진출을 통한 글로벌 시장 확대</t>
    </r>
  </si>
  <si>
    <t xml:space="preserve">73-1</t>
  </si>
  <si>
    <r>
      <rPr>
        <sz val="11"/>
        <color theme="1"/>
        <rFont val="맑은 고딕"/>
        <family val="2"/>
        <charset val="1"/>
      </rPr>
      <t xml:space="preserve">AI </t>
    </r>
    <r>
      <rPr>
        <sz val="11"/>
        <color theme="1"/>
        <rFont val="Noto Sans CJK SC"/>
        <family val="2"/>
      </rPr>
      <t xml:space="preserve">기반 콘텐츠 기업 해외시장 개척 지원</t>
    </r>
  </si>
  <si>
    <t xml:space="preserve">문체부는 외교부, 중기부와 협력하여 ’30년 K-콘텐츠 수출 250억 달러 달성을 목표로 한 ｢AI 기술 기반 콘텐츠 기업의 해외시장 개척 지원 계획｣을 ’26년 2분기까지 수립하되, 동 지원 계획에는 ①K-콘텐츠의 현지화 수출 확대, ②AI 기반 콘텐츠 스타트업의 해외 판로 확대, ③글로벌 시장에서 국내 AI 기반 콘텐츠 기업의 성과 적극 홍보, ④K-컬처 주요 행사 내에 AI 기술 체험·시연·시상 부문 신설을 통해 ‘K-컬처 속의 K-AI’ 이미지를 확산하는 방안 등을 포함하여야 한다.</t>
  </si>
  <si>
    <t xml:space="preserve">외교부, 중기부</t>
  </si>
  <si>
    <t xml:space="preserve">73-2</t>
  </si>
  <si>
    <r>
      <rPr>
        <sz val="11"/>
        <color theme="1"/>
        <rFont val="맑은 고딕"/>
        <family val="2"/>
        <charset val="1"/>
      </rPr>
      <t xml:space="preserve">K-AI </t>
    </r>
    <r>
      <rPr>
        <sz val="11"/>
        <color theme="1"/>
        <rFont val="Noto Sans CJK SC"/>
        <family val="2"/>
      </rPr>
      <t xml:space="preserve">글로벌 홍보 허브 지정</t>
    </r>
    <r>
      <rPr>
        <sz val="11"/>
        <color theme="1"/>
        <rFont val="맑은 고딕"/>
        <family val="2"/>
        <charset val="1"/>
      </rPr>
      <t xml:space="preserve">·</t>
    </r>
    <r>
      <rPr>
        <sz val="11"/>
        <color theme="1"/>
        <rFont val="Noto Sans CJK SC"/>
        <family val="2"/>
      </rPr>
      <t xml:space="preserve">운영 확대</t>
    </r>
  </si>
  <si>
    <t xml:space="preserve">문체부는 외교부와 협력하여 재외문화원과 KOCCA 센터 등을 K-AI-콘텐츠 전시·체험을 위한 글로벌 홍보 허브로 지정·활용하고, 이를 위해 ’26년 내 글로벌 홍보 허브 2개소를 우선 지정한 뒤 ’27년부터 주요 거점으로 확대해 나간다.</t>
  </si>
</sst>
</file>

<file path=xl/styles.xml><?xml version="1.0" encoding="utf-8"?>
<styleSheet xmlns="http://schemas.openxmlformats.org/spreadsheetml/2006/main">
  <numFmts count="5">
    <numFmt numFmtId="164" formatCode="General"/>
    <numFmt numFmtId="165" formatCode="yyyy\-mm\-dd"/>
    <numFmt numFmtId="166" formatCode="0.0%"/>
    <numFmt numFmtId="167" formatCode="##.#&quot;분기&quot;"/>
    <numFmt numFmtId="168" formatCode="General"/>
  </numFmts>
  <fonts count="24">
    <font>
      <sz val="11"/>
      <color theme="1"/>
      <name val="맑은 고딕"/>
      <family val="2"/>
      <charset val="1"/>
    </font>
    <font>
      <sz val="10"/>
      <name val="Arial"/>
      <family val="0"/>
    </font>
    <font>
      <sz val="10"/>
      <name val="Arial"/>
      <family val="0"/>
    </font>
    <font>
      <sz val="10"/>
      <name val="Arial"/>
      <family val="0"/>
    </font>
    <font>
      <b val="true"/>
      <sz val="14"/>
      <color rgb="FF000000"/>
      <name val="Noto Sans CJK SC"/>
      <family val="2"/>
    </font>
    <font>
      <b val="true"/>
      <sz val="14"/>
      <color rgb="FF000000"/>
      <name val="Malgun Gothic"/>
      <family val="0"/>
      <charset val="1"/>
    </font>
    <font>
      <sz val="9"/>
      <color rgb="FF666666"/>
      <name val="Noto Sans CJK SC"/>
      <family val="2"/>
    </font>
    <font>
      <sz val="9"/>
      <color rgb="FF666666"/>
      <name val="Malgun Gothic"/>
      <family val="0"/>
      <charset val="1"/>
    </font>
    <font>
      <b val="true"/>
      <sz val="10"/>
      <color rgb="FFFFFFFF"/>
      <name val="Noto Sans CJK SC"/>
      <family val="2"/>
    </font>
    <font>
      <b val="true"/>
      <sz val="10"/>
      <color rgb="FF0000FF"/>
      <name val="Malgun Gothic"/>
      <family val="0"/>
      <charset val="1"/>
    </font>
    <font>
      <b val="true"/>
      <sz val="11"/>
      <color rgb="FF000000"/>
      <name val="Noto Sans CJK SC"/>
      <family val="2"/>
    </font>
    <font>
      <b val="true"/>
      <sz val="11"/>
      <color rgb="FF000000"/>
      <name val="Malgun Gothic"/>
      <family val="0"/>
      <charset val="1"/>
    </font>
    <font>
      <sz val="10"/>
      <color rgb="FF000000"/>
      <name val="Malgun Gothic"/>
      <family val="0"/>
      <charset val="1"/>
    </font>
    <font>
      <sz val="10"/>
      <color rgb="FF000000"/>
      <name val="Noto Sans CJK SC"/>
      <family val="2"/>
    </font>
    <font>
      <b val="true"/>
      <sz val="10"/>
      <color rgb="FF000000"/>
      <name val="Noto Sans CJK SC"/>
      <family val="2"/>
    </font>
    <font>
      <b val="true"/>
      <sz val="10"/>
      <color rgb="FF000000"/>
      <name val="Malgun Gothic"/>
      <family val="0"/>
      <charset val="1"/>
    </font>
    <font>
      <sz val="11"/>
      <color theme="1"/>
      <name val="맑은 고딕"/>
      <family val="3"/>
      <charset val="129"/>
    </font>
    <font>
      <b val="true"/>
      <sz val="11"/>
      <color theme="1"/>
      <name val="Noto Sans CJK SC"/>
      <family val="2"/>
      <charset val="1"/>
    </font>
    <font>
      <b val="true"/>
      <sz val="10"/>
      <color rgb="FFFFFFFF"/>
      <name val="Noto Sans CJK SC"/>
      <family val="2"/>
      <charset val="1"/>
    </font>
    <font>
      <b val="true"/>
      <sz val="10"/>
      <color rgb="FFFFFFFF"/>
      <name val="Malgun Gothic"/>
      <family val="0"/>
      <charset val="1"/>
    </font>
    <font>
      <sz val="11"/>
      <color theme="1"/>
      <name val="Noto Sans CJK SC"/>
      <family val="2"/>
    </font>
    <font>
      <sz val="11"/>
      <color theme="1"/>
      <name val="Noto Sans CJK SC"/>
      <family val="2"/>
      <charset val="1"/>
    </font>
    <font>
      <sz val="9"/>
      <name val="Malgun Gothic"/>
      <family val="0"/>
      <charset val="1"/>
    </font>
    <font>
      <sz val="9"/>
      <name val="Noto Sans CJK SC"/>
      <family val="2"/>
      <charset val="1"/>
    </font>
  </fonts>
  <fills count="4">
    <fill>
      <patternFill patternType="none"/>
    </fill>
    <fill>
      <patternFill patternType="gray125"/>
    </fill>
    <fill>
      <patternFill patternType="solid">
        <fgColor rgb="FF0B2E5C"/>
        <bgColor rgb="FF333333"/>
      </patternFill>
    </fill>
    <fill>
      <patternFill patternType="solid">
        <fgColor theme="3" tint="0.7999"/>
        <bgColor rgb="FFD9D9D9"/>
      </patternFill>
    </fill>
  </fills>
  <borders count="5">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D9D9D9"/>
      </left>
      <right style="thin">
        <color rgb="FFD9D9D9"/>
      </right>
      <top style="thin">
        <color rgb="FFD9D9D9"/>
      </top>
      <bottom/>
      <diagonal/>
    </border>
    <border diagonalUp="false" diagonalDown="false">
      <left style="thin">
        <color rgb="FFD9D9D9"/>
      </left>
      <right style="thin">
        <color rgb="FFD9D9D9"/>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5" fontId="9" fillId="0" borderId="1"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66" fontId="12" fillId="0" borderId="1" xfId="0" applyFont="true" applyBorder="true" applyAlignment="true" applyProtection="false">
      <alignment horizontal="general" vertical="center" textRotation="0" wrapText="false" indent="0" shrinkToFit="false"/>
      <protection locked="true" hidden="false"/>
    </xf>
    <xf numFmtId="164" fontId="14" fillId="0" borderId="1" xfId="0" applyFont="true" applyBorder="true" applyAlignment="true" applyProtection="false">
      <alignment horizontal="general" vertical="center" textRotation="0" wrapText="false" indent="0" shrinkToFit="false"/>
      <protection locked="true" hidden="false"/>
    </xf>
    <xf numFmtId="166" fontId="15" fillId="0" borderId="1"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7" fillId="3" borderId="2" xfId="0" applyFont="true" applyBorder="true" applyAlignment="true" applyProtection="false">
      <alignment horizontal="center" vertical="center" textRotation="0" wrapText="true" indent="0" shrinkToFit="false"/>
      <protection locked="true" hidden="false"/>
    </xf>
    <xf numFmtId="164" fontId="17" fillId="3" borderId="2" xfId="0" applyFont="true" applyBorder="true" applyAlignment="true" applyProtection="false">
      <alignment horizontal="center" vertical="center" textRotation="0" wrapText="false" indent="0" shrinkToFit="false"/>
      <protection locked="true" hidden="false"/>
    </xf>
    <xf numFmtId="164" fontId="17" fillId="3" borderId="3" xfId="0" applyFont="true" applyBorder="true" applyAlignment="true" applyProtection="false">
      <alignment horizontal="center" vertical="center" textRotation="0" wrapText="tru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4" fontId="18" fillId="2" borderId="1" xfId="0" applyFont="true" applyBorder="true" applyAlignment="true" applyProtection="false">
      <alignment horizontal="center" vertical="center" textRotation="0" wrapText="false" indent="0" shrinkToFit="false"/>
      <protection locked="true" hidden="false"/>
    </xf>
    <xf numFmtId="164" fontId="19" fillId="2" borderId="1"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center" vertical="center" textRotation="0" wrapText="false" indent="0" shrinkToFit="false"/>
      <protection locked="true" hidden="false"/>
    </xf>
    <xf numFmtId="164" fontId="21" fillId="0" borderId="4" xfId="0" applyFont="true" applyBorder="true" applyAlignment="true" applyProtection="false">
      <alignment horizontal="center" vertical="center" textRotation="0" wrapText="true" indent="0" shrinkToFit="false"/>
      <protection locked="true" hidden="false"/>
    </xf>
    <xf numFmtId="164" fontId="21" fillId="0" borderId="4" xfId="0" applyFont="true" applyBorder="true" applyAlignment="true" applyProtection="false">
      <alignment horizontal="center" vertical="center" textRotation="0" wrapText="false" indent="0" shrinkToFit="false"/>
      <protection locked="true" hidden="false"/>
    </xf>
    <xf numFmtId="164" fontId="21" fillId="0" borderId="4" xfId="0" applyFont="true" applyBorder="true" applyAlignment="true" applyProtection="false">
      <alignment horizontal="left" vertical="top" textRotation="0" wrapText="true" indent="0" shrinkToFit="false"/>
      <protection locked="true" hidden="false"/>
    </xf>
    <xf numFmtId="167" fontId="16" fillId="0" borderId="4" xfId="0" applyFont="true" applyBorder="true" applyAlignment="true" applyProtection="false">
      <alignment horizontal="general" vertical="center" textRotation="0" wrapText="false" indent="0" shrinkToFit="false"/>
      <protection locked="true" hidden="false"/>
    </xf>
    <xf numFmtId="164" fontId="21" fillId="0" borderId="4" xfId="0" applyFont="true" applyBorder="true" applyAlignment="true" applyProtection="false">
      <alignment horizontal="general" vertical="center" textRotation="0" wrapText="false" indent="0" shrinkToFit="false"/>
      <protection locked="true" hidden="false"/>
    </xf>
    <xf numFmtId="164" fontId="0" fillId="0" borderId="4" xfId="0" applyFont="true" applyBorder="true" applyAlignment="true" applyProtection="false">
      <alignment horizontal="general" vertical="center" textRotation="0" wrapText="false" indent="0" shrinkToFit="false"/>
      <protection locked="true" hidden="false"/>
    </xf>
    <xf numFmtId="165" fontId="22" fillId="0" borderId="1" xfId="0" applyFont="true" applyBorder="true" applyAlignment="true" applyProtection="false">
      <alignment horizontal="center" vertical="bottom" textRotation="0" wrapText="false" indent="0" shrinkToFit="false"/>
      <protection locked="true" hidden="false"/>
    </xf>
    <xf numFmtId="168" fontId="22" fillId="0" borderId="1" xfId="0" applyFont="true" applyBorder="true" applyAlignment="true" applyProtection="false">
      <alignment horizontal="center" vertical="bottom" textRotation="0" wrapText="false" indent="0" shrinkToFit="false"/>
      <protection locked="true" hidden="false"/>
    </xf>
    <xf numFmtId="164" fontId="23" fillId="0" borderId="1" xfId="0" applyFont="true" applyBorder="true" applyAlignment="true" applyProtection="false">
      <alignment horizontal="center" vertical="bottom" textRotation="0" wrapText="false" indent="0" shrinkToFit="false"/>
      <protection locked="true" hidden="false"/>
    </xf>
    <xf numFmtId="164" fontId="21" fillId="0" borderId="4" xfId="0" applyFont="true" applyBorder="true" applyAlignment="true" applyProtection="false">
      <alignment horizontal="justify" vertical="top" textRotation="0" wrapText="false" indent="0" shrinkToFit="false"/>
      <protection locked="true" hidden="false"/>
    </xf>
    <xf numFmtId="167" fontId="21" fillId="0" borderId="4" xfId="0" applyFont="true" applyBorder="true" applyAlignment="true" applyProtection="false">
      <alignment horizontal="general" vertical="center" textRotation="0" wrapText="false" indent="0" shrinkToFit="false"/>
      <protection locked="true" hidden="false"/>
    </xf>
    <xf numFmtId="164" fontId="21" fillId="0" borderId="4" xfId="0" applyFont="true" applyBorder="true" applyAlignment="true" applyProtection="false">
      <alignment horizontal="general" vertical="top" textRotation="0" wrapText="false" indent="0" shrinkToFit="false"/>
      <protection locked="true" hidden="false"/>
    </xf>
    <xf numFmtId="164" fontId="0" fillId="0" borderId="4" xfId="0" applyFont="true" applyBorder="true" applyAlignment="true" applyProtection="false">
      <alignment horizontal="center" vertical="center" textRotation="0" wrapText="true" indent="0" shrinkToFit="false"/>
      <protection locked="true" hidden="false"/>
    </xf>
    <xf numFmtId="164" fontId="21" fillId="0" borderId="4" xfId="0" applyFont="true" applyBorder="true" applyAlignment="true" applyProtection="false">
      <alignment horizontal="justify" vertical="top" textRotation="0" wrapText="true" indent="0" shrinkToFit="false"/>
      <protection locked="true" hidden="false"/>
    </xf>
    <xf numFmtId="164" fontId="21" fillId="0" borderId="4"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AAAAAA"/>
      <rgbColor rgb="FF0B2E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2"/>
    <col collapsed="false" customWidth="true" hidden="false" outlineLevel="0" max="3" min="3" style="0" width="3"/>
    <col collapsed="false" customWidth="true" hidden="false" outlineLevel="0" max="4" min="4" style="0" width="14"/>
    <col collapsed="false" customWidth="true" hidden="false" outlineLevel="0" max="6" min="5" style="0" width="10"/>
  </cols>
  <sheetData>
    <row r="1" customFormat="false" ht="21.6"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c r="B3" s="4" t="n">
        <v>46206</v>
      </c>
    </row>
    <row r="5" customFormat="false" ht="17.15" hidden="false" customHeight="false" outlineLevel="0" collapsed="false">
      <c r="A5" s="5" t="s">
        <v>3</v>
      </c>
      <c r="D5" s="5" t="s">
        <v>4</v>
      </c>
    </row>
    <row r="6" customFormat="false" ht="15" hidden="false" customHeight="false" outlineLevel="0" collapsed="false">
      <c r="A6" s="3" t="s">
        <v>5</v>
      </c>
      <c r="B6" s="6" t="n">
        <v>99</v>
      </c>
      <c r="D6" s="3" t="s">
        <v>6</v>
      </c>
      <c r="E6" s="3" t="s">
        <v>7</v>
      </c>
      <c r="F6" s="3" t="s">
        <v>8</v>
      </c>
    </row>
    <row r="7" customFormat="false" ht="15" hidden="false" customHeight="false" outlineLevel="0" collapsed="false">
      <c r="A7" s="3" t="s">
        <v>9</v>
      </c>
      <c r="B7" s="6" t="n">
        <f aca="false">COUNTA('★최종안'!$D$2:$D$327)</f>
        <v>326</v>
      </c>
      <c r="D7" s="7" t="s">
        <v>10</v>
      </c>
      <c r="E7" s="6" t="n">
        <f aca="false">COUNTIF('★최종안'!$O$2:$O$327,"기한초과")</f>
        <v>166</v>
      </c>
      <c r="F7" s="8" t="n">
        <f aca="false">E7/SUM($E$7:$E$12)</f>
        <v>0.50920245398773</v>
      </c>
    </row>
    <row r="8" customFormat="false" ht="15" hidden="false" customHeight="false" outlineLevel="0" collapsed="false">
      <c r="A8" s="3" t="s">
        <v>11</v>
      </c>
      <c r="B8" s="6" t="n">
        <v>3</v>
      </c>
      <c r="D8" s="7" t="s">
        <v>12</v>
      </c>
      <c r="E8" s="6" t="n">
        <f aca="false">COUNTIF('★최종안'!$O$2:$O$327,"긴급")</f>
        <v>0</v>
      </c>
      <c r="F8" s="8" t="n">
        <f aca="false">E8/SUM($E$7:$E$12)</f>
        <v>0</v>
      </c>
    </row>
    <row r="9" customFormat="false" ht="15" hidden="false" customHeight="false" outlineLevel="0" collapsed="false">
      <c r="A9" s="3" t="s">
        <v>13</v>
      </c>
      <c r="B9" s="6" t="n">
        <v>12</v>
      </c>
      <c r="D9" s="7" t="s">
        <v>14</v>
      </c>
      <c r="E9" s="6" t="n">
        <f aca="false">COUNTIF('★최종안'!$O$2:$O$327,"주의")</f>
        <v>28</v>
      </c>
      <c r="F9" s="8" t="n">
        <f aca="false">E9/SUM($E$7:$E$12)</f>
        <v>0.0858895705521472</v>
      </c>
    </row>
    <row r="10" customFormat="false" ht="15" hidden="false" customHeight="false" outlineLevel="0" collapsed="false">
      <c r="D10" s="7" t="s">
        <v>15</v>
      </c>
      <c r="E10" s="6" t="n">
        <f aca="false">COUNTIF('★최종안'!$O$2:$O$327,"관찰")</f>
        <v>72</v>
      </c>
      <c r="F10" s="8" t="n">
        <f aca="false">E10/SUM($E$7:$E$12)</f>
        <v>0.220858895705521</v>
      </c>
    </row>
    <row r="11" customFormat="false" ht="15" hidden="false" customHeight="false" outlineLevel="0" collapsed="false">
      <c r="D11" s="7" t="s">
        <v>16</v>
      </c>
      <c r="E11" s="6" t="n">
        <f aca="false">COUNTIF('★최종안'!$O$2:$O$327,"여유")</f>
        <v>36</v>
      </c>
      <c r="F11" s="8" t="n">
        <f aca="false">E11/SUM($E$7:$E$12)</f>
        <v>0.110429447852761</v>
      </c>
    </row>
    <row r="12" customFormat="false" ht="15" hidden="false" customHeight="false" outlineLevel="0" collapsed="false">
      <c r="D12" s="7" t="s">
        <v>17</v>
      </c>
      <c r="E12" s="6" t="n">
        <f aca="false">COUNTIF('★최종안'!$O$2:$O$327,"기한없음")</f>
        <v>24</v>
      </c>
      <c r="F12" s="8" t="n">
        <f aca="false">E12/SUM($E$7:$E$12)</f>
        <v>0.0736196319018405</v>
      </c>
    </row>
    <row r="13" customFormat="false" ht="15" hidden="false" customHeight="false" outlineLevel="0" collapsed="false">
      <c r="D13" s="9" t="s">
        <v>18</v>
      </c>
      <c r="E13" s="9" t="n">
        <f aca="false">SUM(E7:E12)</f>
        <v>326</v>
      </c>
      <c r="F13" s="10" t="n">
        <f aca="false">SUM(F7:F12)</f>
        <v>1</v>
      </c>
    </row>
    <row r="15" customFormat="false" ht="15" hidden="false" customHeight="false" outlineLevel="0" collapsed="false">
      <c r="A15" s="5" t="s">
        <v>19</v>
      </c>
      <c r="D15" s="5" t="s">
        <v>20</v>
      </c>
    </row>
    <row r="16" customFormat="false" ht="15" hidden="false" customHeight="false" outlineLevel="0" collapsed="false">
      <c r="A16" s="3" t="s">
        <v>11</v>
      </c>
      <c r="B16" s="3" t="s">
        <v>7</v>
      </c>
      <c r="D16" s="3" t="s">
        <v>21</v>
      </c>
      <c r="E16" s="3" t="s">
        <v>7</v>
      </c>
    </row>
    <row r="17" customFormat="false" ht="15" hidden="false" customHeight="false" outlineLevel="0" collapsed="false">
      <c r="A17" s="6" t="s">
        <v>22</v>
      </c>
      <c r="B17" s="6" t="n">
        <f aca="false">COUNTIF('★최종안'!$A$2:$A$327,"1. AI 혁신생태계 조성*")</f>
        <v>134</v>
      </c>
      <c r="D17" s="6" t="s">
        <v>23</v>
      </c>
      <c r="E17" s="6" t="n">
        <f aca="false">COUNTIF('★최종안'!$H$2:$H$327,"26.1")</f>
        <v>81</v>
      </c>
    </row>
    <row r="18" customFormat="false" ht="15" hidden="false" customHeight="false" outlineLevel="0" collapsed="false">
      <c r="A18" s="6" t="s">
        <v>24</v>
      </c>
      <c r="B18" s="6" t="n">
        <f aca="false">COUNTIF('★최종안'!$A$2:$A$327,"2. 범국가 AI 기반 대전환*")</f>
        <v>114</v>
      </c>
      <c r="D18" s="6" t="s">
        <v>25</v>
      </c>
      <c r="E18" s="6" t="n">
        <f aca="false">COUNTIF('★최종안'!$H$2:$H$327,"26.2")</f>
        <v>85</v>
      </c>
    </row>
    <row r="19" customFormat="false" ht="15" hidden="false" customHeight="false" outlineLevel="0" collapsed="false">
      <c r="A19" s="6" t="s">
        <v>26</v>
      </c>
      <c r="B19" s="6" t="n">
        <f aca="false">COUNTIF('★최종안'!$A$2:$A$327,"3. 글로벌 AI 기본사회 기여*")</f>
        <v>78</v>
      </c>
      <c r="D19" s="6" t="s">
        <v>27</v>
      </c>
      <c r="E19" s="6" t="n">
        <f aca="false">COUNTIF('★최종안'!$H$2:$H$327,"26.3")</f>
        <v>28</v>
      </c>
    </row>
    <row r="20" customFormat="false" ht="15" hidden="false" customHeight="false" outlineLevel="0" collapsed="false">
      <c r="A20" s="9" t="s">
        <v>18</v>
      </c>
      <c r="B20" s="9" t="n">
        <f aca="false">SUM(B17:B19)</f>
        <v>326</v>
      </c>
      <c r="D20" s="6" t="s">
        <v>28</v>
      </c>
      <c r="E20" s="6" t="n">
        <f aca="false">COUNTIF('★최종안'!$H$2:$H$327,"26.4")</f>
        <v>72</v>
      </c>
    </row>
    <row r="21" customFormat="false" ht="15" hidden="false" customHeight="false" outlineLevel="0" collapsed="false">
      <c r="D21" s="6" t="s">
        <v>29</v>
      </c>
      <c r="E21" s="6" t="n">
        <f aca="false">COUNTIF('★최종안'!$H$2:$H$327,"27.1")</f>
        <v>11</v>
      </c>
    </row>
    <row r="22" customFormat="false" ht="17.15" hidden="false" customHeight="false" outlineLevel="0" collapsed="false">
      <c r="A22" s="5" t="s">
        <v>30</v>
      </c>
      <c r="D22" s="6" t="s">
        <v>31</v>
      </c>
      <c r="E22" s="6" t="n">
        <f aca="false">COUNTIF('★최종안'!$H$2:$H$327,"27.2")</f>
        <v>6</v>
      </c>
    </row>
    <row r="23" customFormat="false" ht="15" hidden="false" customHeight="false" outlineLevel="0" collapsed="false">
      <c r="A23" s="3" t="s">
        <v>32</v>
      </c>
      <c r="B23" s="3" t="s">
        <v>7</v>
      </c>
      <c r="D23" s="6" t="s">
        <v>33</v>
      </c>
      <c r="E23" s="6" t="n">
        <f aca="false">COUNTIF('★최종안'!$H$2:$H$327,"27.4")</f>
        <v>17</v>
      </c>
    </row>
    <row r="24" customFormat="false" ht="15" hidden="false" customHeight="false" outlineLevel="0" collapsed="false">
      <c r="A24" s="7" t="s">
        <v>34</v>
      </c>
      <c r="B24" s="6" t="n">
        <f aca="false">COUNTIF('★최종안'!$I$2:$I$327,"*과기정통부*")</f>
        <v>121</v>
      </c>
      <c r="D24" s="6" t="s">
        <v>35</v>
      </c>
      <c r="E24" s="6" t="n">
        <f aca="false">COUNTIF('★최종안'!$H$2:$H$327,"28.1")</f>
        <v>1</v>
      </c>
    </row>
    <row r="25" customFormat="false" ht="15" hidden="false" customHeight="false" outlineLevel="0" collapsed="false">
      <c r="A25" s="7" t="s">
        <v>36</v>
      </c>
      <c r="B25" s="6" t="n">
        <f aca="false">COUNTIF('★최종안'!$I$2:$I$327,"*복지부*")</f>
        <v>17</v>
      </c>
      <c r="D25" s="6" t="s">
        <v>37</v>
      </c>
      <c r="E25" s="6" t="n">
        <f aca="false">COUNTIF('★최종안'!$H$2:$H$327,"30.4")</f>
        <v>1</v>
      </c>
    </row>
    <row r="26" customFormat="false" ht="15" hidden="false" customHeight="false" outlineLevel="0" collapsed="false">
      <c r="A26" s="7" t="s">
        <v>38</v>
      </c>
      <c r="B26" s="6" t="n">
        <f aca="false">COUNTIF('★최종안'!$I$2:$I$327,"*산업부*")</f>
        <v>31</v>
      </c>
      <c r="D26" s="7" t="s">
        <v>17</v>
      </c>
      <c r="E26" s="6" t="n">
        <f aca="false">COUNTIF('★최종안'!$H$2:$H$327,"기한없음")</f>
        <v>24</v>
      </c>
    </row>
    <row r="27" customFormat="false" ht="15" hidden="false" customHeight="false" outlineLevel="0" collapsed="false">
      <c r="A27" s="7" t="s">
        <v>39</v>
      </c>
      <c r="B27" s="6" t="n">
        <f aca="false">COUNTIF('★최종안'!$I$2:$I$327,"*국방부*")</f>
        <v>23</v>
      </c>
      <c r="D27" s="9" t="s">
        <v>18</v>
      </c>
      <c r="E27" s="9" t="n">
        <f aca="false">SUM(E17:E26)</f>
        <v>326</v>
      </c>
    </row>
    <row r="28" customFormat="false" ht="15" hidden="false" customHeight="false" outlineLevel="0" collapsed="false">
      <c r="A28" s="7" t="s">
        <v>40</v>
      </c>
      <c r="B28" s="6" t="n">
        <f aca="false">COUNTIF('★최종안'!$I$2:$I$327,"*교육부*")</f>
        <v>32</v>
      </c>
    </row>
    <row r="29" customFormat="false" ht="15" hidden="false" customHeight="false" outlineLevel="0" collapsed="false">
      <c r="A29" s="7" t="s">
        <v>41</v>
      </c>
      <c r="B29" s="6" t="n">
        <f aca="false">COUNTIF('★최종안'!$I$2:$I$327,"*행안부*")</f>
        <v>25</v>
      </c>
    </row>
    <row r="30" customFormat="false" ht="15" hidden="false" customHeight="false" outlineLevel="0" collapsed="false">
      <c r="A30" s="7" t="s">
        <v>42</v>
      </c>
      <c r="B30" s="6" t="n">
        <f aca="false">COUNTIF('★최종안'!$I$2:$I$327,"*중기부*")</f>
        <v>12</v>
      </c>
    </row>
    <row r="31" customFormat="false" ht="15" hidden="false" customHeight="false" outlineLevel="0" collapsed="false">
      <c r="A31" s="7" t="s">
        <v>43</v>
      </c>
      <c r="B31" s="6" t="n">
        <f aca="false">COUNTIF('★최종안'!$I$2:$I$327,"*국토부*")</f>
        <v>11</v>
      </c>
    </row>
    <row r="32" customFormat="false" ht="15" hidden="false" customHeight="false" outlineLevel="0" collapsed="false">
      <c r="A32" s="7" t="s">
        <v>44</v>
      </c>
      <c r="B32" s="6" t="n">
        <f aca="false">COUNTIF('★최종안'!$I$2:$I$327,"*문체부*")</f>
        <v>12</v>
      </c>
    </row>
    <row r="33" customFormat="false" ht="15" hidden="false" customHeight="false" outlineLevel="0" collapsed="false">
      <c r="A33" s="7" t="s">
        <v>45</v>
      </c>
      <c r="B33" s="6" t="n">
        <f aca="false">COUNTIF('★최종안'!$I$2:$I$327,"*금융위*")</f>
        <v>6</v>
      </c>
    </row>
    <row r="35" customFormat="false" ht="15" hidden="false" customHeight="false" outlineLevel="0" collapsed="false">
      <c r="A35" s="2" t="s">
        <v>46</v>
      </c>
    </row>
    <row r="36" customFormat="false" ht="15" hidden="false" customHeight="false" outlineLevel="0" collapsed="false">
      <c r="A36" s="2"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27"/>
  <sheetViews>
    <sheetView showFormulas="false" showGridLines="true" showRowColHeaders="true" showZeros="true" rightToLeft="false" tabSelected="true" showOutlineSymbols="true" defaultGridColor="true" view="normal" topLeftCell="E1" colorId="64" zoomScale="70" zoomScaleNormal="70" zoomScalePageLayoutView="100" workbookViewId="0">
      <pane xSplit="0" ySplit="1" topLeftCell="A2" activePane="bottomLeft" state="frozen"/>
      <selection pane="topLeft" activeCell="E1" activeCellId="0" sqref="E1"/>
      <selection pane="bottomLeft" activeCell="E335" activeCellId="0" sqref="E335"/>
    </sheetView>
  </sheetViews>
  <sheetFormatPr defaultColWidth="9" defaultRowHeight="16.5" zeroHeight="false" outlineLevelRow="0" outlineLevelCol="0"/>
  <cols>
    <col collapsed="false" customWidth="true" hidden="false" outlineLevel="0" max="1" min="1" style="11" width="21.38"/>
    <col collapsed="false" customWidth="true" hidden="false" outlineLevel="0" max="2" min="2" style="11" width="22.5"/>
    <col collapsed="false" customWidth="true" hidden="false" outlineLevel="0" max="3" min="3" style="11" width="66.75"/>
    <col collapsed="false" customWidth="true" hidden="false" outlineLevel="0" max="4" min="4" style="11" width="10.88"/>
    <col collapsed="false" customWidth="true" hidden="false" outlineLevel="0" max="5" min="5" style="11" width="46.38"/>
    <col collapsed="false" customWidth="true" hidden="false" outlineLevel="0" max="6" min="6" style="11" width="21.25"/>
    <col collapsed="false" customWidth="true" hidden="false" outlineLevel="0" max="7" min="7" style="12" width="128.75"/>
    <col collapsed="false" customWidth="false" hidden="false" outlineLevel="0" max="8" min="8" style="12" width="9"/>
    <col collapsed="false" customWidth="true" hidden="false" outlineLevel="0" max="9" min="9" style="13" width="30"/>
    <col collapsed="false" customWidth="true" hidden="false" outlineLevel="0" max="11" min="11" style="13" width="39"/>
    <col collapsed="false" customWidth="true" hidden="false" outlineLevel="0" max="12" min="12" style="13" width="18.13"/>
    <col collapsed="false" customWidth="true" hidden="false" outlineLevel="0" max="14" min="13" style="13" width="12"/>
    <col collapsed="false" customWidth="true" hidden="false" outlineLevel="0" max="16" min="15" style="13" width="10"/>
  </cols>
  <sheetData>
    <row r="1" s="20" customFormat="true" ht="21.75" hidden="false" customHeight="true" outlineLevel="0" collapsed="false">
      <c r="A1" s="14" t="s">
        <v>11</v>
      </c>
      <c r="B1" s="14" t="s">
        <v>13</v>
      </c>
      <c r="C1" s="15" t="s">
        <v>48</v>
      </c>
      <c r="D1" s="15" t="s">
        <v>49</v>
      </c>
      <c r="E1" s="15" t="s">
        <v>50</v>
      </c>
      <c r="F1" s="15" t="s">
        <v>51</v>
      </c>
      <c r="G1" s="14" t="s">
        <v>52</v>
      </c>
      <c r="H1" s="16" t="s">
        <v>21</v>
      </c>
      <c r="I1" s="16" t="s">
        <v>53</v>
      </c>
      <c r="J1" s="16" t="s">
        <v>54</v>
      </c>
      <c r="K1" s="16" t="s">
        <v>55</v>
      </c>
      <c r="L1" s="17" t="s">
        <v>56</v>
      </c>
      <c r="M1" s="18" t="s">
        <v>57</v>
      </c>
      <c r="N1" s="19" t="s">
        <v>58</v>
      </c>
      <c r="O1" s="18" t="s">
        <v>6</v>
      </c>
      <c r="P1" s="18" t="s">
        <v>59</v>
      </c>
    </row>
    <row r="2" customFormat="false" ht="33" hidden="false" customHeight="true" outlineLevel="0" collapsed="false">
      <c r="A2" s="21" t="s">
        <v>60</v>
      </c>
      <c r="B2" s="22" t="s">
        <v>61</v>
      </c>
      <c r="C2" s="21" t="s">
        <v>62</v>
      </c>
      <c r="D2" s="21" t="s">
        <v>63</v>
      </c>
      <c r="E2" s="23" t="s">
        <v>64</v>
      </c>
      <c r="F2" s="23" t="s">
        <v>65</v>
      </c>
      <c r="G2" s="24" t="s">
        <v>66</v>
      </c>
      <c r="H2" s="25" t="n">
        <v>26.1</v>
      </c>
      <c r="I2" s="26" t="s">
        <v>34</v>
      </c>
      <c r="J2" s="26"/>
      <c r="K2" s="26"/>
      <c r="L2" s="27" t="s">
        <v>67</v>
      </c>
      <c r="M2" s="28" t="n">
        <f aca="false">IF($H2="기한없음","",DATE(2000+VALUE(LEFT($H2,2)),VALUE(RIGHT($H2,1))*3+1,1)-1)</f>
        <v>46112</v>
      </c>
      <c r="N2" s="29" t="n">
        <f aca="false">IF($M2="","",$M2-이행현황요약!$B$3)</f>
        <v>-94</v>
      </c>
      <c r="O2" s="29" t="str">
        <f aca="false">IF($H2="기한없음","기한없음",IF($N2&lt;0,"기한초과",IF($N2&lt;=34,"긴급",IF($N2&lt;=120,"주의",IF($N2&lt;=240,"관찰","여유")))))</f>
        <v>기한초과</v>
      </c>
      <c r="P2" s="30" t="s">
        <v>68</v>
      </c>
    </row>
    <row r="3" customFormat="false" ht="33" hidden="false" customHeight="true" outlineLevel="0" collapsed="false">
      <c r="A3" s="21" t="s">
        <v>60</v>
      </c>
      <c r="B3" s="22" t="s">
        <v>61</v>
      </c>
      <c r="C3" s="21" t="s">
        <v>62</v>
      </c>
      <c r="D3" s="21" t="s">
        <v>69</v>
      </c>
      <c r="E3" s="21" t="s">
        <v>70</v>
      </c>
      <c r="F3" s="23" t="s">
        <v>65</v>
      </c>
      <c r="G3" s="24" t="s">
        <v>71</v>
      </c>
      <c r="H3" s="25" t="n">
        <v>26.2</v>
      </c>
      <c r="I3" s="26" t="s">
        <v>34</v>
      </c>
      <c r="J3" s="27"/>
      <c r="K3" s="27"/>
      <c r="L3" s="27" t="s">
        <v>67</v>
      </c>
      <c r="M3" s="28" t="n">
        <f aca="false">IF($H3="기한없음","",DATE(2000+VALUE(LEFT($H3,2)),VALUE(RIGHT($H3,1))*3+1,1)-1)</f>
        <v>46203</v>
      </c>
      <c r="N3" s="30" t="n">
        <f aca="false">IF($M3="","",$M3-이행현황요약!$B$3)</f>
        <v>-3</v>
      </c>
      <c r="O3" s="30" t="str">
        <f aca="false">IF($H3="기한없음","기한없음",IF($N3&lt;0,"기한초과",IF($N3&lt;=34,"긴급",IF($N3&lt;=120,"주의",IF($N3&lt;=240,"관찰","여유")))))</f>
        <v>기한초과</v>
      </c>
      <c r="P3" s="30" t="s">
        <v>68</v>
      </c>
    </row>
    <row r="4" customFormat="false" ht="66" hidden="false" customHeight="true" outlineLevel="0" collapsed="false">
      <c r="A4" s="21" t="s">
        <v>60</v>
      </c>
      <c r="B4" s="22" t="s">
        <v>61</v>
      </c>
      <c r="C4" s="21" t="s">
        <v>62</v>
      </c>
      <c r="D4" s="21" t="s">
        <v>72</v>
      </c>
      <c r="E4" s="23" t="s">
        <v>73</v>
      </c>
      <c r="F4" s="23" t="s">
        <v>65</v>
      </c>
      <c r="G4" s="24" t="s">
        <v>74</v>
      </c>
      <c r="H4" s="25" t="n">
        <v>26.4</v>
      </c>
      <c r="I4" s="26" t="s">
        <v>34</v>
      </c>
      <c r="J4" s="27"/>
      <c r="K4" s="26" t="s">
        <v>38</v>
      </c>
      <c r="L4" s="27" t="s">
        <v>67</v>
      </c>
      <c r="M4" s="28" t="n">
        <f aca="false">IF($H4="기한없음","",DATE(2000+VALUE(LEFT($H4,2)),VALUE(RIGHT($H4,1))*3+1,1)-1)</f>
        <v>46387</v>
      </c>
      <c r="N4" s="30" t="n">
        <f aca="false">IF($M4="","",$M4-이행현황요약!$B$3)</f>
        <v>181</v>
      </c>
      <c r="O4" s="30" t="str">
        <f aca="false">IF($H4="기한없음","기한없음",IF($N4&lt;0,"기한초과",IF($N4&lt;=34,"긴급",IF($N4&lt;=120,"주의",IF($N4&lt;=240,"관찰","여유")))))</f>
        <v>관찰</v>
      </c>
      <c r="P4" s="30" t="s">
        <v>68</v>
      </c>
    </row>
    <row r="5" customFormat="false" ht="49.5" hidden="false" customHeight="true" outlineLevel="0" collapsed="false">
      <c r="A5" s="21" t="s">
        <v>60</v>
      </c>
      <c r="B5" s="22" t="s">
        <v>61</v>
      </c>
      <c r="C5" s="21" t="s">
        <v>75</v>
      </c>
      <c r="D5" s="21" t="s">
        <v>76</v>
      </c>
      <c r="E5" s="23" t="s">
        <v>77</v>
      </c>
      <c r="F5" s="23" t="s">
        <v>65</v>
      </c>
      <c r="G5" s="24" t="s">
        <v>78</v>
      </c>
      <c r="H5" s="25" t="n">
        <v>26.1</v>
      </c>
      <c r="I5" s="26" t="s">
        <v>34</v>
      </c>
      <c r="J5" s="27"/>
      <c r="K5" s="26" t="s">
        <v>38</v>
      </c>
      <c r="L5" s="27" t="s">
        <v>67</v>
      </c>
      <c r="M5" s="28" t="n">
        <f aca="false">IF($H5="기한없음","",DATE(2000+VALUE(LEFT($H5,2)),VALUE(RIGHT($H5,1))*3+1,1)-1)</f>
        <v>46112</v>
      </c>
      <c r="N5" s="30" t="n">
        <f aca="false">IF($M5="","",$M5-이행현황요약!$B$3)</f>
        <v>-94</v>
      </c>
      <c r="O5" s="30" t="str">
        <f aca="false">IF($H5="기한없음","기한없음",IF($N5&lt;0,"기한초과",IF($N5&lt;=34,"긴급",IF($N5&lt;=120,"주의",IF($N5&lt;=240,"관찰","여유")))))</f>
        <v>기한초과</v>
      </c>
      <c r="P5" s="30" t="s">
        <v>68</v>
      </c>
    </row>
    <row r="6" customFormat="false" ht="33" hidden="false" customHeight="true" outlineLevel="0" collapsed="false">
      <c r="A6" s="21" t="s">
        <v>60</v>
      </c>
      <c r="B6" s="22" t="s">
        <v>61</v>
      </c>
      <c r="C6" s="21" t="s">
        <v>75</v>
      </c>
      <c r="D6" s="21" t="s">
        <v>79</v>
      </c>
      <c r="E6" s="23" t="s">
        <v>80</v>
      </c>
      <c r="F6" s="23" t="s">
        <v>65</v>
      </c>
      <c r="G6" s="24" t="s">
        <v>81</v>
      </c>
      <c r="H6" s="25" t="n">
        <v>26.4</v>
      </c>
      <c r="I6" s="26" t="s">
        <v>34</v>
      </c>
      <c r="J6" s="27"/>
      <c r="K6" s="26" t="s">
        <v>41</v>
      </c>
      <c r="L6" s="27" t="s">
        <v>67</v>
      </c>
      <c r="M6" s="28" t="n">
        <f aca="false">IF($H6="기한없음","",DATE(2000+VALUE(LEFT($H6,2)),VALUE(RIGHT($H6,1))*3+1,1)-1)</f>
        <v>46387</v>
      </c>
      <c r="N6" s="30" t="n">
        <f aca="false">IF($M6="","",$M6-이행현황요약!$B$3)</f>
        <v>181</v>
      </c>
      <c r="O6" s="30" t="str">
        <f aca="false">IF($H6="기한없음","기한없음",IF($N6&lt;0,"기한초과",IF($N6&lt;=34,"긴급",IF($N6&lt;=120,"주의",IF($N6&lt;=240,"관찰","여유")))))</f>
        <v>관찰</v>
      </c>
      <c r="P6" s="30" t="s">
        <v>68</v>
      </c>
    </row>
    <row r="7" customFormat="false" ht="66" hidden="false" customHeight="true" outlineLevel="0" collapsed="false">
      <c r="A7" s="21" t="s">
        <v>60</v>
      </c>
      <c r="B7" s="22" t="s">
        <v>61</v>
      </c>
      <c r="C7" s="21" t="s">
        <v>75</v>
      </c>
      <c r="D7" s="21" t="s">
        <v>82</v>
      </c>
      <c r="E7" s="21" t="s">
        <v>83</v>
      </c>
      <c r="F7" s="23" t="s">
        <v>65</v>
      </c>
      <c r="G7" s="24" t="s">
        <v>84</v>
      </c>
      <c r="H7" s="25" t="n">
        <v>26.2</v>
      </c>
      <c r="I7" s="26" t="s">
        <v>85</v>
      </c>
      <c r="J7" s="27"/>
      <c r="K7" s="26" t="s">
        <v>34</v>
      </c>
      <c r="L7" s="27" t="s">
        <v>67</v>
      </c>
      <c r="M7" s="28" t="n">
        <f aca="false">IF($H7="기한없음","",DATE(2000+VALUE(LEFT($H7,2)),VALUE(RIGHT($H7,1))*3+1,1)-1)</f>
        <v>46203</v>
      </c>
      <c r="N7" s="30" t="n">
        <f aca="false">IF($M7="","",$M7-이행현황요약!$B$3)</f>
        <v>-3</v>
      </c>
      <c r="O7" s="30" t="str">
        <f aca="false">IF($H7="기한없음","기한없음",IF($N7&lt;0,"기한초과",IF($N7&lt;=34,"긴급",IF($N7&lt;=120,"주의",IF($N7&lt;=240,"관찰","여유")))))</f>
        <v>기한초과</v>
      </c>
      <c r="P7" s="30" t="s">
        <v>68</v>
      </c>
    </row>
    <row r="8" customFormat="false" ht="66" hidden="false" customHeight="true" outlineLevel="0" collapsed="false">
      <c r="A8" s="21" t="s">
        <v>60</v>
      </c>
      <c r="B8" s="22" t="s">
        <v>61</v>
      </c>
      <c r="C8" s="21" t="s">
        <v>86</v>
      </c>
      <c r="D8" s="21" t="s">
        <v>87</v>
      </c>
      <c r="E8" s="21" t="s">
        <v>88</v>
      </c>
      <c r="F8" s="23" t="s">
        <v>65</v>
      </c>
      <c r="G8" s="24" t="s">
        <v>89</v>
      </c>
      <c r="H8" s="25" t="n">
        <v>26.1</v>
      </c>
      <c r="I8" s="26" t="s">
        <v>34</v>
      </c>
      <c r="J8" s="27"/>
      <c r="K8" s="27"/>
      <c r="L8" s="27" t="s">
        <v>67</v>
      </c>
      <c r="M8" s="28" t="n">
        <f aca="false">IF($H8="기한없음","",DATE(2000+VALUE(LEFT($H8,2)),VALUE(RIGHT($H8,1))*3+1,1)-1)</f>
        <v>46112</v>
      </c>
      <c r="N8" s="30" t="n">
        <f aca="false">IF($M8="","",$M8-이행현황요약!$B$3)</f>
        <v>-94</v>
      </c>
      <c r="O8" s="30" t="str">
        <f aca="false">IF($H8="기한없음","기한없음",IF($N8&lt;0,"기한초과",IF($N8&lt;=34,"긴급",IF($N8&lt;=120,"주의",IF($N8&lt;=240,"관찰","여유")))))</f>
        <v>기한초과</v>
      </c>
      <c r="P8" s="30" t="s">
        <v>68</v>
      </c>
    </row>
    <row r="9" customFormat="false" ht="49.5" hidden="false" customHeight="true" outlineLevel="0" collapsed="false">
      <c r="A9" s="21" t="s">
        <v>60</v>
      </c>
      <c r="B9" s="22" t="s">
        <v>61</v>
      </c>
      <c r="C9" s="21" t="s">
        <v>86</v>
      </c>
      <c r="D9" s="21" t="s">
        <v>90</v>
      </c>
      <c r="E9" s="23" t="s">
        <v>91</v>
      </c>
      <c r="F9" s="23" t="s">
        <v>65</v>
      </c>
      <c r="G9" s="24" t="s">
        <v>92</v>
      </c>
      <c r="H9" s="25" t="n">
        <v>26.4</v>
      </c>
      <c r="I9" s="26" t="s">
        <v>93</v>
      </c>
      <c r="J9" s="27" t="s">
        <v>94</v>
      </c>
      <c r="K9" s="27"/>
      <c r="L9" s="27" t="s">
        <v>67</v>
      </c>
      <c r="M9" s="28" t="n">
        <f aca="false">IF($H9="기한없음","",DATE(2000+VALUE(LEFT($H9,2)),VALUE(RIGHT($H9,1))*3+1,1)-1)</f>
        <v>46387</v>
      </c>
      <c r="N9" s="30" t="n">
        <f aca="false">IF($M9="","",$M9-이행현황요약!$B$3)</f>
        <v>181</v>
      </c>
      <c r="O9" s="30" t="str">
        <f aca="false">IF($H9="기한없음","기한없음",IF($N9&lt;0,"기한초과",IF($N9&lt;=34,"긴급",IF($N9&lt;=120,"주의",IF($N9&lt;=240,"관찰","여유")))))</f>
        <v>관찰</v>
      </c>
      <c r="P9" s="30" t="s">
        <v>68</v>
      </c>
    </row>
    <row r="10" customFormat="false" ht="66" hidden="false" customHeight="true" outlineLevel="0" collapsed="false">
      <c r="A10" s="21" t="s">
        <v>60</v>
      </c>
      <c r="B10" s="22" t="s">
        <v>61</v>
      </c>
      <c r="C10" s="21" t="s">
        <v>95</v>
      </c>
      <c r="D10" s="21" t="s">
        <v>96</v>
      </c>
      <c r="E10" s="23" t="s">
        <v>97</v>
      </c>
      <c r="F10" s="23" t="s">
        <v>98</v>
      </c>
      <c r="G10" s="24" t="s">
        <v>99</v>
      </c>
      <c r="H10" s="25" t="n">
        <v>26.1</v>
      </c>
      <c r="I10" s="26" t="s">
        <v>34</v>
      </c>
      <c r="J10" s="27"/>
      <c r="K10" s="27"/>
      <c r="L10" s="27" t="s">
        <v>100</v>
      </c>
      <c r="M10" s="28" t="n">
        <f aca="false">IF($H10="기한없음","",DATE(2000+VALUE(LEFT($H10,2)),VALUE(RIGHT($H10,1))*3+1,1)-1)</f>
        <v>46112</v>
      </c>
      <c r="N10" s="30" t="n">
        <f aca="false">IF($M10="","",$M10-이행현황요약!$B$3)</f>
        <v>-94</v>
      </c>
      <c r="O10" s="30" t="str">
        <f aca="false">IF($H10="기한없음","기한없음",IF($N10&lt;0,"기한초과",IF($N10&lt;=34,"긴급",IF($N10&lt;=120,"주의",IF($N10&lt;=240,"관찰","여유")))))</f>
        <v>기한초과</v>
      </c>
      <c r="P10" s="30" t="s">
        <v>68</v>
      </c>
    </row>
    <row r="11" customFormat="false" ht="49.5" hidden="false" customHeight="true" outlineLevel="0" collapsed="false">
      <c r="A11" s="21" t="s">
        <v>60</v>
      </c>
      <c r="B11" s="22" t="s">
        <v>61</v>
      </c>
      <c r="C11" s="21" t="s">
        <v>95</v>
      </c>
      <c r="D11" s="21" t="s">
        <v>101</v>
      </c>
      <c r="E11" s="21" t="s">
        <v>102</v>
      </c>
      <c r="F11" s="23" t="s">
        <v>98</v>
      </c>
      <c r="G11" s="31" t="s">
        <v>103</v>
      </c>
      <c r="H11" s="25" t="n">
        <v>26.2</v>
      </c>
      <c r="I11" s="26" t="s">
        <v>104</v>
      </c>
      <c r="J11" s="27" t="s">
        <v>94</v>
      </c>
      <c r="K11" s="27"/>
      <c r="L11" s="27" t="s">
        <v>100</v>
      </c>
      <c r="M11" s="28" t="n">
        <f aca="false">IF($H11="기한없음","",DATE(2000+VALUE(LEFT($H11,2)),VALUE(RIGHT($H11,1))*3+1,1)-1)</f>
        <v>46203</v>
      </c>
      <c r="N11" s="30" t="n">
        <f aca="false">IF($M11="","",$M11-이행현황요약!$B$3)</f>
        <v>-3</v>
      </c>
      <c r="O11" s="30" t="str">
        <f aca="false">IF($H11="기한없음","기한없음",IF($N11&lt;0,"기한초과",IF($N11&lt;=34,"긴급",IF($N11&lt;=120,"주의",IF($N11&lt;=240,"관찰","여유")))))</f>
        <v>기한초과</v>
      </c>
      <c r="P11" s="30" t="s">
        <v>68</v>
      </c>
    </row>
    <row r="12" customFormat="false" ht="66" hidden="false" customHeight="true" outlineLevel="0" collapsed="false">
      <c r="A12" s="21" t="s">
        <v>60</v>
      </c>
      <c r="B12" s="22" t="s">
        <v>61</v>
      </c>
      <c r="C12" s="21" t="s">
        <v>95</v>
      </c>
      <c r="D12" s="21" t="s">
        <v>105</v>
      </c>
      <c r="E12" s="23" t="s">
        <v>106</v>
      </c>
      <c r="F12" s="23" t="s">
        <v>98</v>
      </c>
      <c r="G12" s="24" t="s">
        <v>107</v>
      </c>
      <c r="H12" s="25" t="n">
        <v>26.1</v>
      </c>
      <c r="I12" s="26" t="s">
        <v>108</v>
      </c>
      <c r="J12" s="27" t="s">
        <v>94</v>
      </c>
      <c r="K12" s="27"/>
      <c r="L12" s="27" t="s">
        <v>100</v>
      </c>
      <c r="M12" s="28" t="n">
        <f aca="false">IF($H12="기한없음","",DATE(2000+VALUE(LEFT($H12,2)),VALUE(RIGHT($H12,1))*3+1,1)-1)</f>
        <v>46112</v>
      </c>
      <c r="N12" s="30" t="n">
        <f aca="false">IF($M12="","",$M12-이행현황요약!$B$3)</f>
        <v>-94</v>
      </c>
      <c r="O12" s="30" t="str">
        <f aca="false">IF($H12="기한없음","기한없음",IF($N12&lt;0,"기한초과",IF($N12&lt;=34,"긴급",IF($N12&lt;=120,"주의",IF($N12&lt;=240,"관찰","여유")))))</f>
        <v>기한초과</v>
      </c>
      <c r="P12" s="30" t="s">
        <v>68</v>
      </c>
    </row>
    <row r="13" customFormat="false" ht="66" hidden="false" customHeight="true" outlineLevel="0" collapsed="false">
      <c r="A13" s="21" t="s">
        <v>60</v>
      </c>
      <c r="B13" s="22" t="s">
        <v>61</v>
      </c>
      <c r="C13" s="21" t="s">
        <v>109</v>
      </c>
      <c r="D13" s="21" t="s">
        <v>110</v>
      </c>
      <c r="E13" s="21" t="s">
        <v>111</v>
      </c>
      <c r="F13" s="23" t="s">
        <v>98</v>
      </c>
      <c r="G13" s="24" t="s">
        <v>112</v>
      </c>
      <c r="H13" s="25" t="n">
        <v>26.2</v>
      </c>
      <c r="I13" s="26" t="s">
        <v>34</v>
      </c>
      <c r="J13" s="27"/>
      <c r="K13" s="26" t="s">
        <v>113</v>
      </c>
      <c r="L13" s="27" t="s">
        <v>100</v>
      </c>
      <c r="M13" s="28" t="n">
        <f aca="false">IF($H13="기한없음","",DATE(2000+VALUE(LEFT($H13,2)),VALUE(RIGHT($H13,1))*3+1,1)-1)</f>
        <v>46203</v>
      </c>
      <c r="N13" s="30" t="n">
        <f aca="false">IF($M13="","",$M13-이행현황요약!$B$3)</f>
        <v>-3</v>
      </c>
      <c r="O13" s="30" t="str">
        <f aca="false">IF($H13="기한없음","기한없음",IF($N13&lt;0,"기한초과",IF($N13&lt;=34,"긴급",IF($N13&lt;=120,"주의",IF($N13&lt;=240,"관찰","여유")))))</f>
        <v>기한초과</v>
      </c>
      <c r="P13" s="30" t="s">
        <v>68</v>
      </c>
    </row>
    <row r="14" customFormat="false" ht="33" hidden="false" customHeight="true" outlineLevel="0" collapsed="false">
      <c r="A14" s="21" t="s">
        <v>60</v>
      </c>
      <c r="B14" s="22" t="s">
        <v>61</v>
      </c>
      <c r="C14" s="21" t="s">
        <v>109</v>
      </c>
      <c r="D14" s="21" t="s">
        <v>114</v>
      </c>
      <c r="E14" s="23" t="s">
        <v>115</v>
      </c>
      <c r="F14" s="23" t="s">
        <v>98</v>
      </c>
      <c r="G14" s="24" t="s">
        <v>116</v>
      </c>
      <c r="H14" s="25" t="n">
        <v>26.4</v>
      </c>
      <c r="I14" s="26" t="s">
        <v>34</v>
      </c>
      <c r="J14" s="27"/>
      <c r="K14" s="26" t="s">
        <v>41</v>
      </c>
      <c r="L14" s="27" t="s">
        <v>100</v>
      </c>
      <c r="M14" s="28" t="n">
        <f aca="false">IF($H14="기한없음","",DATE(2000+VALUE(LEFT($H14,2)),VALUE(RIGHT($H14,1))*3+1,1)-1)</f>
        <v>46387</v>
      </c>
      <c r="N14" s="30" t="n">
        <f aca="false">IF($M14="","",$M14-이행현황요약!$B$3)</f>
        <v>181</v>
      </c>
      <c r="O14" s="30" t="str">
        <f aca="false">IF($H14="기한없음","기한없음",IF($N14&lt;0,"기한초과",IF($N14&lt;=34,"긴급",IF($N14&lt;=120,"주의",IF($N14&lt;=240,"관찰","여유")))))</f>
        <v>관찰</v>
      </c>
      <c r="P14" s="30" t="s">
        <v>68</v>
      </c>
    </row>
    <row r="15" customFormat="false" ht="33" hidden="false" customHeight="true" outlineLevel="0" collapsed="false">
      <c r="A15" s="21" t="s">
        <v>60</v>
      </c>
      <c r="B15" s="22" t="s">
        <v>61</v>
      </c>
      <c r="C15" s="21" t="s">
        <v>109</v>
      </c>
      <c r="D15" s="21" t="s">
        <v>117</v>
      </c>
      <c r="E15" s="23" t="s">
        <v>118</v>
      </c>
      <c r="F15" s="23" t="s">
        <v>98</v>
      </c>
      <c r="G15" s="24" t="s">
        <v>119</v>
      </c>
      <c r="H15" s="25" t="n">
        <v>26.3</v>
      </c>
      <c r="I15" s="26" t="s">
        <v>34</v>
      </c>
      <c r="J15" s="27"/>
      <c r="K15" s="27"/>
      <c r="L15" s="27" t="s">
        <v>100</v>
      </c>
      <c r="M15" s="28" t="n">
        <f aca="false">IF($H15="기한없음","",DATE(2000+VALUE(LEFT($H15,2)),VALUE(RIGHT($H15,1))*3+1,1)-1)</f>
        <v>46295</v>
      </c>
      <c r="N15" s="30" t="n">
        <f aca="false">IF($M15="","",$M15-이행현황요약!$B$3)</f>
        <v>89</v>
      </c>
      <c r="O15" s="30" t="str">
        <f aca="false">IF($H15="기한없음","기한없음",IF($N15&lt;0,"기한초과",IF($N15&lt;=34,"긴급",IF($N15&lt;=120,"주의",IF($N15&lt;=240,"관찰","여유")))))</f>
        <v>주의</v>
      </c>
      <c r="P15" s="30" t="s">
        <v>68</v>
      </c>
    </row>
    <row r="16" customFormat="false" ht="33" hidden="false" customHeight="true" outlineLevel="0" collapsed="false">
      <c r="A16" s="21" t="s">
        <v>60</v>
      </c>
      <c r="B16" s="22" t="s">
        <v>61</v>
      </c>
      <c r="C16" s="21" t="s">
        <v>120</v>
      </c>
      <c r="D16" s="21" t="s">
        <v>121</v>
      </c>
      <c r="E16" s="23" t="s">
        <v>122</v>
      </c>
      <c r="F16" s="21" t="s">
        <v>123</v>
      </c>
      <c r="G16" s="24" t="s">
        <v>124</v>
      </c>
      <c r="H16" s="25" t="n">
        <v>26.2</v>
      </c>
      <c r="I16" s="26" t="s">
        <v>36</v>
      </c>
      <c r="J16" s="27"/>
      <c r="K16" s="27"/>
      <c r="L16" s="27" t="s">
        <v>125</v>
      </c>
      <c r="M16" s="28" t="n">
        <f aca="false">IF($H16="기한없음","",DATE(2000+VALUE(LEFT($H16,2)),VALUE(RIGHT($H16,1))*3+1,1)-1)</f>
        <v>46203</v>
      </c>
      <c r="N16" s="30" t="n">
        <f aca="false">IF($M16="","",$M16-이행현황요약!$B$3)</f>
        <v>-3</v>
      </c>
      <c r="O16" s="30" t="str">
        <f aca="false">IF($H16="기한없음","기한없음",IF($N16&lt;0,"기한초과",IF($N16&lt;=34,"긴급",IF($N16&lt;=120,"주의",IF($N16&lt;=240,"관찰","여유")))))</f>
        <v>기한초과</v>
      </c>
      <c r="P16" s="30" t="s">
        <v>68</v>
      </c>
    </row>
    <row r="17" customFormat="false" ht="33" hidden="false" customHeight="true" outlineLevel="0" collapsed="false">
      <c r="A17" s="21" t="s">
        <v>60</v>
      </c>
      <c r="B17" s="22" t="s">
        <v>61</v>
      </c>
      <c r="C17" s="21" t="s">
        <v>120</v>
      </c>
      <c r="D17" s="21" t="s">
        <v>126</v>
      </c>
      <c r="E17" s="23" t="s">
        <v>127</v>
      </c>
      <c r="F17" s="21" t="s">
        <v>123</v>
      </c>
      <c r="G17" s="24" t="s">
        <v>128</v>
      </c>
      <c r="H17" s="25" t="n">
        <v>26.1</v>
      </c>
      <c r="I17" s="26" t="s">
        <v>36</v>
      </c>
      <c r="J17" s="27"/>
      <c r="K17" s="27"/>
      <c r="L17" s="27" t="s">
        <v>125</v>
      </c>
      <c r="M17" s="28" t="n">
        <f aca="false">IF($H17="기한없음","",DATE(2000+VALUE(LEFT($H17,2)),VALUE(RIGHT($H17,1))*3+1,1)-1)</f>
        <v>46112</v>
      </c>
      <c r="N17" s="30" t="n">
        <f aca="false">IF($M17="","",$M17-이행현황요약!$B$3)</f>
        <v>-94</v>
      </c>
      <c r="O17" s="30" t="str">
        <f aca="false">IF($H17="기한없음","기한없음",IF($N17&lt;0,"기한초과",IF($N17&lt;=34,"긴급",IF($N17&lt;=120,"주의",IF($N17&lt;=240,"관찰","여유")))))</f>
        <v>기한초과</v>
      </c>
      <c r="P17" s="30" t="s">
        <v>68</v>
      </c>
    </row>
    <row r="18" customFormat="false" ht="33" hidden="false" customHeight="true" outlineLevel="0" collapsed="false">
      <c r="A18" s="21" t="s">
        <v>60</v>
      </c>
      <c r="B18" s="22" t="s">
        <v>61</v>
      </c>
      <c r="C18" s="21" t="s">
        <v>120</v>
      </c>
      <c r="D18" s="21" t="s">
        <v>129</v>
      </c>
      <c r="E18" s="23" t="s">
        <v>130</v>
      </c>
      <c r="F18" s="21" t="s">
        <v>123</v>
      </c>
      <c r="G18" s="24" t="s">
        <v>131</v>
      </c>
      <c r="H18" s="25" t="n">
        <v>26.2</v>
      </c>
      <c r="I18" s="26" t="s">
        <v>39</v>
      </c>
      <c r="J18" s="27"/>
      <c r="K18" s="26" t="s">
        <v>36</v>
      </c>
      <c r="L18" s="27" t="s">
        <v>125</v>
      </c>
      <c r="M18" s="28" t="n">
        <f aca="false">IF($H18="기한없음","",DATE(2000+VALUE(LEFT($H18,2)),VALUE(RIGHT($H18,1))*3+1,1)-1)</f>
        <v>46203</v>
      </c>
      <c r="N18" s="30" t="n">
        <f aca="false">IF($M18="","",$M18-이행현황요약!$B$3)</f>
        <v>-3</v>
      </c>
      <c r="O18" s="30" t="str">
        <f aca="false">IF($H18="기한없음","기한없음",IF($N18&lt;0,"기한초과",IF($N18&lt;=34,"긴급",IF($N18&lt;=120,"주의",IF($N18&lt;=240,"관찰","여유")))))</f>
        <v>기한초과</v>
      </c>
      <c r="P18" s="30" t="s">
        <v>68</v>
      </c>
    </row>
    <row r="19" customFormat="false" ht="33" hidden="false" customHeight="true" outlineLevel="0" collapsed="false">
      <c r="A19" s="21" t="s">
        <v>60</v>
      </c>
      <c r="B19" s="22" t="s">
        <v>61</v>
      </c>
      <c r="C19" s="21" t="s">
        <v>120</v>
      </c>
      <c r="D19" s="21" t="s">
        <v>132</v>
      </c>
      <c r="E19" s="23" t="s">
        <v>133</v>
      </c>
      <c r="F19" s="21" t="s">
        <v>123</v>
      </c>
      <c r="G19" s="24" t="s">
        <v>134</v>
      </c>
      <c r="H19" s="25" t="n">
        <v>26.1</v>
      </c>
      <c r="I19" s="26" t="s">
        <v>34</v>
      </c>
      <c r="J19" s="27"/>
      <c r="K19" s="26" t="s">
        <v>36</v>
      </c>
      <c r="L19" s="27" t="s">
        <v>125</v>
      </c>
      <c r="M19" s="28" t="n">
        <f aca="false">IF($H19="기한없음","",DATE(2000+VALUE(LEFT($H19,2)),VALUE(RIGHT($H19,1))*3+1,1)-1)</f>
        <v>46112</v>
      </c>
      <c r="N19" s="30" t="n">
        <f aca="false">IF($M19="","",$M19-이행현황요약!$B$3)</f>
        <v>-94</v>
      </c>
      <c r="O19" s="30" t="str">
        <f aca="false">IF($H19="기한없음","기한없음",IF($N19&lt;0,"기한초과",IF($N19&lt;=34,"긴급",IF($N19&lt;=120,"주의",IF($N19&lt;=240,"관찰","여유")))))</f>
        <v>기한초과</v>
      </c>
      <c r="P19" s="30" t="s">
        <v>68</v>
      </c>
    </row>
    <row r="20" customFormat="false" ht="33" hidden="false" customHeight="true" outlineLevel="0" collapsed="false">
      <c r="A20" s="21" t="s">
        <v>60</v>
      </c>
      <c r="B20" s="22" t="s">
        <v>61</v>
      </c>
      <c r="C20" s="21" t="s">
        <v>135</v>
      </c>
      <c r="D20" s="21" t="s">
        <v>136</v>
      </c>
      <c r="E20" s="21" t="s">
        <v>137</v>
      </c>
      <c r="F20" s="23" t="s">
        <v>138</v>
      </c>
      <c r="G20" s="31" t="s">
        <v>139</v>
      </c>
      <c r="H20" s="25" t="n">
        <v>26.1</v>
      </c>
      <c r="I20" s="26" t="s">
        <v>34</v>
      </c>
      <c r="J20" s="27"/>
      <c r="K20" s="27"/>
      <c r="L20" s="27" t="s">
        <v>125</v>
      </c>
      <c r="M20" s="28" t="n">
        <f aca="false">IF($H20="기한없음","",DATE(2000+VALUE(LEFT($H20,2)),VALUE(RIGHT($H20,1))*3+1,1)-1)</f>
        <v>46112</v>
      </c>
      <c r="N20" s="30" t="n">
        <f aca="false">IF($M20="","",$M20-이행현황요약!$B$3)</f>
        <v>-94</v>
      </c>
      <c r="O20" s="30" t="str">
        <f aca="false">IF($H20="기한없음","기한없음",IF($N20&lt;0,"기한초과",IF($N20&lt;=34,"긴급",IF($N20&lt;=120,"주의",IF($N20&lt;=240,"관찰","여유")))))</f>
        <v>기한초과</v>
      </c>
      <c r="P20" s="30" t="s">
        <v>68</v>
      </c>
    </row>
    <row r="21" customFormat="false" ht="49.5" hidden="false" customHeight="true" outlineLevel="0" collapsed="false">
      <c r="A21" s="21" t="s">
        <v>60</v>
      </c>
      <c r="B21" s="22" t="s">
        <v>61</v>
      </c>
      <c r="C21" s="21" t="s">
        <v>135</v>
      </c>
      <c r="D21" s="21" t="s">
        <v>140</v>
      </c>
      <c r="E21" s="23" t="s">
        <v>141</v>
      </c>
      <c r="F21" s="23" t="s">
        <v>138</v>
      </c>
      <c r="G21" s="24" t="s">
        <v>142</v>
      </c>
      <c r="H21" s="25" t="n">
        <v>26.1</v>
      </c>
      <c r="I21" s="26" t="s">
        <v>34</v>
      </c>
      <c r="J21" s="27"/>
      <c r="K21" s="27"/>
      <c r="L21" s="27" t="s">
        <v>125</v>
      </c>
      <c r="M21" s="28" t="n">
        <f aca="false">IF($H21="기한없음","",DATE(2000+VALUE(LEFT($H21,2)),VALUE(RIGHT($H21,1))*3+1,1)-1)</f>
        <v>46112</v>
      </c>
      <c r="N21" s="30" t="n">
        <f aca="false">IF($M21="","",$M21-이행현황요약!$B$3)</f>
        <v>-94</v>
      </c>
      <c r="O21" s="30" t="str">
        <f aca="false">IF($H21="기한없음","기한없음",IF($N21&lt;0,"기한초과",IF($N21&lt;=34,"긴급",IF($N21&lt;=120,"주의",IF($N21&lt;=240,"관찰","여유")))))</f>
        <v>기한초과</v>
      </c>
      <c r="P21" s="30" t="s">
        <v>68</v>
      </c>
    </row>
    <row r="22" customFormat="false" ht="82.5" hidden="false" customHeight="true" outlineLevel="0" collapsed="false">
      <c r="A22" s="21" t="s">
        <v>60</v>
      </c>
      <c r="B22" s="22" t="s">
        <v>61</v>
      </c>
      <c r="C22" s="21" t="s">
        <v>135</v>
      </c>
      <c r="D22" s="21" t="s">
        <v>143</v>
      </c>
      <c r="E22" s="23" t="s">
        <v>144</v>
      </c>
      <c r="F22" s="23" t="s">
        <v>138</v>
      </c>
      <c r="G22" s="31" t="s">
        <v>145</v>
      </c>
      <c r="H22" s="25" t="n">
        <v>27.4</v>
      </c>
      <c r="I22" s="26" t="s">
        <v>34</v>
      </c>
      <c r="J22" s="27"/>
      <c r="K22" s="27"/>
      <c r="L22" s="27" t="s">
        <v>125</v>
      </c>
      <c r="M22" s="28" t="n">
        <f aca="false">IF($H22="기한없음","",DATE(2000+VALUE(LEFT($H22,2)),VALUE(RIGHT($H22,1))*3+1,1)-1)</f>
        <v>46752</v>
      </c>
      <c r="N22" s="30" t="n">
        <f aca="false">IF($M22="","",$M22-이행현황요약!$B$3)</f>
        <v>546</v>
      </c>
      <c r="O22" s="30" t="str">
        <f aca="false">IF($H22="기한없음","기한없음",IF($N22&lt;0,"기한초과",IF($N22&lt;=34,"긴급",IF($N22&lt;=120,"주의",IF($N22&lt;=240,"관찰","여유")))))</f>
        <v>여유</v>
      </c>
      <c r="P22" s="30" t="s">
        <v>68</v>
      </c>
    </row>
    <row r="23" customFormat="false" ht="33" hidden="false" customHeight="true" outlineLevel="0" collapsed="false">
      <c r="A23" s="21" t="s">
        <v>60</v>
      </c>
      <c r="B23" s="22" t="s">
        <v>61</v>
      </c>
      <c r="C23" s="21" t="s">
        <v>135</v>
      </c>
      <c r="D23" s="21" t="s">
        <v>146</v>
      </c>
      <c r="E23" s="23" t="s">
        <v>147</v>
      </c>
      <c r="F23" s="23" t="s">
        <v>138</v>
      </c>
      <c r="G23" s="24" t="s">
        <v>148</v>
      </c>
      <c r="H23" s="25" t="n">
        <v>26.1</v>
      </c>
      <c r="I23" s="26" t="s">
        <v>34</v>
      </c>
      <c r="J23" s="27"/>
      <c r="K23" s="27"/>
      <c r="L23" s="27" t="s">
        <v>125</v>
      </c>
      <c r="M23" s="28" t="n">
        <f aca="false">IF($H23="기한없음","",DATE(2000+VALUE(LEFT($H23,2)),VALUE(RIGHT($H23,1))*3+1,1)-1)</f>
        <v>46112</v>
      </c>
      <c r="N23" s="30" t="n">
        <f aca="false">IF($M23="","",$M23-이행현황요약!$B$3)</f>
        <v>-94</v>
      </c>
      <c r="O23" s="30" t="str">
        <f aca="false">IF($H23="기한없음","기한없음",IF($N23&lt;0,"기한초과",IF($N23&lt;=34,"긴급",IF($N23&lt;=120,"주의",IF($N23&lt;=240,"관찰","여유")))))</f>
        <v>기한초과</v>
      </c>
      <c r="P23" s="30" t="s">
        <v>68</v>
      </c>
    </row>
    <row r="24" customFormat="false" ht="33" hidden="false" customHeight="true" outlineLevel="0" collapsed="false">
      <c r="A24" s="21" t="s">
        <v>60</v>
      </c>
      <c r="B24" s="22" t="s">
        <v>61</v>
      </c>
      <c r="C24" s="21" t="s">
        <v>135</v>
      </c>
      <c r="D24" s="21" t="s">
        <v>149</v>
      </c>
      <c r="E24" s="23" t="s">
        <v>150</v>
      </c>
      <c r="F24" s="23" t="s">
        <v>138</v>
      </c>
      <c r="G24" s="31" t="s">
        <v>151</v>
      </c>
      <c r="H24" s="25" t="n">
        <v>26.1</v>
      </c>
      <c r="I24" s="26" t="s">
        <v>34</v>
      </c>
      <c r="J24" s="27"/>
      <c r="K24" s="27"/>
      <c r="L24" s="27" t="s">
        <v>125</v>
      </c>
      <c r="M24" s="28" t="n">
        <f aca="false">IF($H24="기한없음","",DATE(2000+VALUE(LEFT($H24,2)),VALUE(RIGHT($H24,1))*3+1,1)-1)</f>
        <v>46112</v>
      </c>
      <c r="N24" s="30" t="n">
        <f aca="false">IF($M24="","",$M24-이행현황요약!$B$3)</f>
        <v>-94</v>
      </c>
      <c r="O24" s="30" t="str">
        <f aca="false">IF($H24="기한없음","기한없음",IF($N24&lt;0,"기한초과",IF($N24&lt;=34,"긴급",IF($N24&lt;=120,"주의",IF($N24&lt;=240,"관찰","여유")))))</f>
        <v>기한초과</v>
      </c>
      <c r="P24" s="30" t="s">
        <v>68</v>
      </c>
    </row>
    <row r="25" customFormat="false" ht="49.5" hidden="false" customHeight="true" outlineLevel="0" collapsed="false">
      <c r="A25" s="21" t="s">
        <v>60</v>
      </c>
      <c r="B25" s="22" t="s">
        <v>61</v>
      </c>
      <c r="C25" s="21" t="s">
        <v>152</v>
      </c>
      <c r="D25" s="21" t="s">
        <v>153</v>
      </c>
      <c r="E25" s="23" t="s">
        <v>154</v>
      </c>
      <c r="F25" s="23" t="s">
        <v>98</v>
      </c>
      <c r="G25" s="24" t="s">
        <v>155</v>
      </c>
      <c r="H25" s="25" t="n">
        <v>26.2</v>
      </c>
      <c r="I25" s="26" t="s">
        <v>156</v>
      </c>
      <c r="J25" s="27"/>
      <c r="K25" s="27"/>
      <c r="L25" s="27" t="s">
        <v>100</v>
      </c>
      <c r="M25" s="28" t="n">
        <f aca="false">IF($H25="기한없음","",DATE(2000+VALUE(LEFT($H25,2)),VALUE(RIGHT($H25,1))*3+1,1)-1)</f>
        <v>46203</v>
      </c>
      <c r="N25" s="30" t="n">
        <f aca="false">IF($M25="","",$M25-이행현황요약!$B$3)</f>
        <v>-3</v>
      </c>
      <c r="O25" s="30" t="str">
        <f aca="false">IF($H25="기한없음","기한없음",IF($N25&lt;0,"기한초과",IF($N25&lt;=34,"긴급",IF($N25&lt;=120,"주의",IF($N25&lt;=240,"관찰","여유")))))</f>
        <v>기한초과</v>
      </c>
      <c r="P25" s="30" t="s">
        <v>68</v>
      </c>
    </row>
    <row r="26" customFormat="false" ht="33" hidden="false" customHeight="true" outlineLevel="0" collapsed="false">
      <c r="A26" s="21" t="s">
        <v>60</v>
      </c>
      <c r="B26" s="22" t="s">
        <v>61</v>
      </c>
      <c r="C26" s="21" t="s">
        <v>152</v>
      </c>
      <c r="D26" s="21" t="s">
        <v>157</v>
      </c>
      <c r="E26" s="23" t="s">
        <v>158</v>
      </c>
      <c r="F26" s="23" t="s">
        <v>98</v>
      </c>
      <c r="G26" s="24" t="s">
        <v>159</v>
      </c>
      <c r="H26" s="25" t="n">
        <v>26.3</v>
      </c>
      <c r="I26" s="26" t="s">
        <v>34</v>
      </c>
      <c r="J26" s="27"/>
      <c r="K26" s="26" t="s">
        <v>160</v>
      </c>
      <c r="L26" s="27" t="s">
        <v>100</v>
      </c>
      <c r="M26" s="28" t="n">
        <f aca="false">IF($H26="기한없음","",DATE(2000+VALUE(LEFT($H26,2)),VALUE(RIGHT($H26,1))*3+1,1)-1)</f>
        <v>46295</v>
      </c>
      <c r="N26" s="30" t="n">
        <f aca="false">IF($M26="","",$M26-이행현황요약!$B$3)</f>
        <v>89</v>
      </c>
      <c r="O26" s="30" t="str">
        <f aca="false">IF($H26="기한없음","기한없음",IF($N26&lt;0,"기한초과",IF($N26&lt;=34,"긴급",IF($N26&lt;=120,"주의",IF($N26&lt;=240,"관찰","여유")))))</f>
        <v>주의</v>
      </c>
      <c r="P26" s="30" t="s">
        <v>68</v>
      </c>
    </row>
    <row r="27" customFormat="false" ht="33" hidden="false" customHeight="true" outlineLevel="0" collapsed="false">
      <c r="A27" s="21" t="s">
        <v>60</v>
      </c>
      <c r="B27" s="22" t="s">
        <v>61</v>
      </c>
      <c r="C27" s="21" t="s">
        <v>152</v>
      </c>
      <c r="D27" s="21" t="s">
        <v>161</v>
      </c>
      <c r="E27" s="23" t="s">
        <v>162</v>
      </c>
      <c r="F27" s="23" t="s">
        <v>98</v>
      </c>
      <c r="G27" s="24" t="s">
        <v>163</v>
      </c>
      <c r="H27" s="32" t="s">
        <v>17</v>
      </c>
      <c r="I27" s="26" t="s">
        <v>34</v>
      </c>
      <c r="J27" s="27"/>
      <c r="K27" s="27"/>
      <c r="L27" s="27" t="s">
        <v>100</v>
      </c>
      <c r="M27" s="28" t="str">
        <f aca="false">IF($H27="기한없음","",DATE(2000+VALUE(LEFT($H27,2)),VALUE(RIGHT($H27,1))*3+1,1)-1)</f>
        <v/>
      </c>
      <c r="N27" s="30" t="str">
        <f aca="false">IF($M27="","",$M27-이행현황요약!$B$3)</f>
        <v/>
      </c>
      <c r="O27" s="30" t="str">
        <f aca="false">IF($H27="기한없음","기한없음",IF($N27&lt;0,"기한초과",IF($N27&lt;=34,"긴급",IF($N27&lt;=120,"주의",IF($N27&lt;=240,"관찰","여유")))))</f>
        <v>기한없음</v>
      </c>
      <c r="P27" s="30" t="s">
        <v>68</v>
      </c>
    </row>
    <row r="28" customFormat="false" ht="33" hidden="false" customHeight="true" outlineLevel="0" collapsed="false">
      <c r="A28" s="21" t="s">
        <v>60</v>
      </c>
      <c r="B28" s="22" t="s">
        <v>61</v>
      </c>
      <c r="C28" s="21" t="s">
        <v>164</v>
      </c>
      <c r="D28" s="21" t="s">
        <v>165</v>
      </c>
      <c r="E28" s="23" t="s">
        <v>166</v>
      </c>
      <c r="F28" s="23" t="s">
        <v>167</v>
      </c>
      <c r="G28" s="24" t="s">
        <v>168</v>
      </c>
      <c r="H28" s="25" t="n">
        <v>26.2</v>
      </c>
      <c r="I28" s="26" t="s">
        <v>34</v>
      </c>
      <c r="J28" s="27"/>
      <c r="K28" s="26" t="s">
        <v>169</v>
      </c>
      <c r="L28" s="27" t="s">
        <v>100</v>
      </c>
      <c r="M28" s="28" t="n">
        <f aca="false">IF($H28="기한없음","",DATE(2000+VALUE(LEFT($H28,2)),VALUE(RIGHT($H28,1))*3+1,1)-1)</f>
        <v>46203</v>
      </c>
      <c r="N28" s="30" t="n">
        <f aca="false">IF($M28="","",$M28-이행현황요약!$B$3)</f>
        <v>-3</v>
      </c>
      <c r="O28" s="30" t="str">
        <f aca="false">IF($H28="기한없음","기한없음",IF($N28&lt;0,"기한초과",IF($N28&lt;=34,"긴급",IF($N28&lt;=120,"주의",IF($N28&lt;=240,"관찰","여유")))))</f>
        <v>기한초과</v>
      </c>
      <c r="P28" s="30" t="s">
        <v>68</v>
      </c>
    </row>
    <row r="29" customFormat="false" ht="33" hidden="false" customHeight="true" outlineLevel="0" collapsed="false">
      <c r="A29" s="21" t="s">
        <v>60</v>
      </c>
      <c r="B29" s="22" t="s">
        <v>61</v>
      </c>
      <c r="C29" s="21" t="s">
        <v>164</v>
      </c>
      <c r="D29" s="21" t="s">
        <v>170</v>
      </c>
      <c r="E29" s="21" t="s">
        <v>171</v>
      </c>
      <c r="F29" s="23" t="s">
        <v>167</v>
      </c>
      <c r="G29" s="24" t="s">
        <v>172</v>
      </c>
      <c r="H29" s="25" t="n">
        <v>26.4</v>
      </c>
      <c r="I29" s="26" t="s">
        <v>34</v>
      </c>
      <c r="J29" s="27"/>
      <c r="K29" s="27"/>
      <c r="L29" s="27" t="s">
        <v>100</v>
      </c>
      <c r="M29" s="28" t="n">
        <f aca="false">IF($H29="기한없음","",DATE(2000+VALUE(LEFT($H29,2)),VALUE(RIGHT($H29,1))*3+1,1)-1)</f>
        <v>46387</v>
      </c>
      <c r="N29" s="30" t="n">
        <f aca="false">IF($M29="","",$M29-이행현황요약!$B$3)</f>
        <v>181</v>
      </c>
      <c r="O29" s="30" t="str">
        <f aca="false">IF($H29="기한없음","기한없음",IF($N29&lt;0,"기한초과",IF($N29&lt;=34,"긴급",IF($N29&lt;=120,"주의",IF($N29&lt;=240,"관찰","여유")))))</f>
        <v>관찰</v>
      </c>
      <c r="P29" s="30" t="s">
        <v>68</v>
      </c>
    </row>
    <row r="30" customFormat="false" ht="66" hidden="false" customHeight="true" outlineLevel="0" collapsed="false">
      <c r="A30" s="21" t="s">
        <v>60</v>
      </c>
      <c r="B30" s="22" t="s">
        <v>61</v>
      </c>
      <c r="C30" s="21" t="s">
        <v>164</v>
      </c>
      <c r="D30" s="21" t="s">
        <v>173</v>
      </c>
      <c r="E30" s="23" t="s">
        <v>174</v>
      </c>
      <c r="F30" s="23" t="s">
        <v>167</v>
      </c>
      <c r="G30" s="31" t="s">
        <v>175</v>
      </c>
      <c r="H30" s="25" t="n">
        <v>26.1</v>
      </c>
      <c r="I30" s="26" t="s">
        <v>156</v>
      </c>
      <c r="J30" s="27"/>
      <c r="K30" s="27"/>
      <c r="L30" s="27" t="s">
        <v>100</v>
      </c>
      <c r="M30" s="28" t="n">
        <f aca="false">IF($H30="기한없음","",DATE(2000+VALUE(LEFT($H30,2)),VALUE(RIGHT($H30,1))*3+1,1)-1)</f>
        <v>46112</v>
      </c>
      <c r="N30" s="30" t="n">
        <f aca="false">IF($M30="","",$M30-이행현황요약!$B$3)</f>
        <v>-94</v>
      </c>
      <c r="O30" s="30" t="str">
        <f aca="false">IF($H30="기한없음","기한없음",IF($N30&lt;0,"기한초과",IF($N30&lt;=34,"긴급",IF($N30&lt;=120,"주의",IF($N30&lt;=240,"관찰","여유")))))</f>
        <v>기한초과</v>
      </c>
      <c r="P30" s="30" t="s">
        <v>68</v>
      </c>
    </row>
    <row r="31" customFormat="false" ht="49.5" hidden="false" customHeight="true" outlineLevel="0" collapsed="false">
      <c r="A31" s="21" t="s">
        <v>60</v>
      </c>
      <c r="B31" s="22" t="s">
        <v>61</v>
      </c>
      <c r="C31" s="21" t="s">
        <v>164</v>
      </c>
      <c r="D31" s="21" t="s">
        <v>176</v>
      </c>
      <c r="E31" s="23" t="s">
        <v>177</v>
      </c>
      <c r="F31" s="23" t="s">
        <v>167</v>
      </c>
      <c r="G31" s="31" t="s">
        <v>178</v>
      </c>
      <c r="H31" s="25" t="n">
        <v>26.4</v>
      </c>
      <c r="I31" s="26" t="s">
        <v>179</v>
      </c>
      <c r="J31" s="27" t="s">
        <v>94</v>
      </c>
      <c r="K31" s="27"/>
      <c r="L31" s="27" t="s">
        <v>100</v>
      </c>
      <c r="M31" s="28" t="n">
        <f aca="false">IF($H31="기한없음","",DATE(2000+VALUE(LEFT($H31,2)),VALUE(RIGHT($H31,1))*3+1,1)-1)</f>
        <v>46387</v>
      </c>
      <c r="N31" s="30" t="n">
        <f aca="false">IF($M31="","",$M31-이행현황요약!$B$3)</f>
        <v>181</v>
      </c>
      <c r="O31" s="30" t="str">
        <f aca="false">IF($H31="기한없음","기한없음",IF($N31&lt;0,"기한초과",IF($N31&lt;=34,"긴급",IF($N31&lt;=120,"주의",IF($N31&lt;=240,"관찰","여유")))))</f>
        <v>관찰</v>
      </c>
      <c r="P31" s="30" t="s">
        <v>68</v>
      </c>
    </row>
    <row r="32" customFormat="false" ht="33" hidden="false" customHeight="true" outlineLevel="0" collapsed="false">
      <c r="A32" s="21" t="s">
        <v>60</v>
      </c>
      <c r="B32" s="22" t="s">
        <v>61</v>
      </c>
      <c r="C32" s="21" t="s">
        <v>164</v>
      </c>
      <c r="D32" s="21" t="s">
        <v>180</v>
      </c>
      <c r="E32" s="21" t="s">
        <v>181</v>
      </c>
      <c r="F32" s="23" t="s">
        <v>167</v>
      </c>
      <c r="G32" s="31" t="s">
        <v>182</v>
      </c>
      <c r="H32" s="25" t="n">
        <v>26.4</v>
      </c>
      <c r="I32" s="26" t="s">
        <v>179</v>
      </c>
      <c r="J32" s="27" t="s">
        <v>94</v>
      </c>
      <c r="K32" s="26" t="s">
        <v>156</v>
      </c>
      <c r="L32" s="27" t="s">
        <v>100</v>
      </c>
      <c r="M32" s="28" t="n">
        <f aca="false">IF($H32="기한없음","",DATE(2000+VALUE(LEFT($H32,2)),VALUE(RIGHT($H32,1))*3+1,1)-1)</f>
        <v>46387</v>
      </c>
      <c r="N32" s="30" t="n">
        <f aca="false">IF($M32="","",$M32-이행현황요약!$B$3)</f>
        <v>181</v>
      </c>
      <c r="O32" s="30" t="str">
        <f aca="false">IF($H32="기한없음","기한없음",IF($N32&lt;0,"기한초과",IF($N32&lt;=34,"긴급",IF($N32&lt;=120,"주의",IF($N32&lt;=240,"관찰","여유")))))</f>
        <v>관찰</v>
      </c>
      <c r="P32" s="30" t="s">
        <v>68</v>
      </c>
    </row>
    <row r="33" customFormat="false" ht="33" hidden="false" customHeight="true" outlineLevel="0" collapsed="false">
      <c r="A33" s="21" t="s">
        <v>60</v>
      </c>
      <c r="B33" s="22" t="s">
        <v>61</v>
      </c>
      <c r="C33" s="21" t="s">
        <v>164</v>
      </c>
      <c r="D33" s="21" t="s">
        <v>183</v>
      </c>
      <c r="E33" s="21" t="s">
        <v>184</v>
      </c>
      <c r="F33" s="23" t="s">
        <v>167</v>
      </c>
      <c r="G33" s="31" t="s">
        <v>185</v>
      </c>
      <c r="H33" s="25" t="n">
        <v>26.4</v>
      </c>
      <c r="I33" s="26" t="s">
        <v>179</v>
      </c>
      <c r="J33" s="27" t="s">
        <v>94</v>
      </c>
      <c r="K33" s="26" t="s">
        <v>186</v>
      </c>
      <c r="L33" s="27" t="s">
        <v>100</v>
      </c>
      <c r="M33" s="28" t="n">
        <f aca="false">IF($H33="기한없음","",DATE(2000+VALUE(LEFT($H33,2)),VALUE(RIGHT($H33,1))*3+1,1)-1)</f>
        <v>46387</v>
      </c>
      <c r="N33" s="30" t="n">
        <f aca="false">IF($M33="","",$M33-이행현황요약!$B$3)</f>
        <v>181</v>
      </c>
      <c r="O33" s="30" t="str">
        <f aca="false">IF($H33="기한없음","기한없음",IF($N33&lt;0,"기한초과",IF($N33&lt;=34,"긴급",IF($N33&lt;=120,"주의",IF($N33&lt;=240,"관찰","여유")))))</f>
        <v>관찰</v>
      </c>
      <c r="P33" s="30" t="s">
        <v>68</v>
      </c>
    </row>
    <row r="34" customFormat="false" ht="33" hidden="false" customHeight="true" outlineLevel="0" collapsed="false">
      <c r="A34" s="21" t="s">
        <v>60</v>
      </c>
      <c r="B34" s="22" t="s">
        <v>61</v>
      </c>
      <c r="C34" s="21" t="s">
        <v>164</v>
      </c>
      <c r="D34" s="21" t="s">
        <v>187</v>
      </c>
      <c r="E34" s="21" t="s">
        <v>188</v>
      </c>
      <c r="F34" s="23" t="s">
        <v>167</v>
      </c>
      <c r="G34" s="31" t="s">
        <v>189</v>
      </c>
      <c r="H34" s="25" t="n">
        <v>27.4</v>
      </c>
      <c r="I34" s="26" t="s">
        <v>179</v>
      </c>
      <c r="J34" s="27" t="s">
        <v>94</v>
      </c>
      <c r="K34" s="26" t="s">
        <v>190</v>
      </c>
      <c r="L34" s="27" t="s">
        <v>100</v>
      </c>
      <c r="M34" s="28" t="n">
        <f aca="false">IF($H34="기한없음","",DATE(2000+VALUE(LEFT($H34,2)),VALUE(RIGHT($H34,1))*3+1,1)-1)</f>
        <v>46752</v>
      </c>
      <c r="N34" s="30" t="n">
        <f aca="false">IF($M34="","",$M34-이행현황요약!$B$3)</f>
        <v>546</v>
      </c>
      <c r="O34" s="30" t="str">
        <f aca="false">IF($H34="기한없음","기한없음",IF($N34&lt;0,"기한초과",IF($N34&lt;=34,"긴급",IF($N34&lt;=120,"주의",IF($N34&lt;=240,"관찰","여유")))))</f>
        <v>여유</v>
      </c>
      <c r="P34" s="30" t="s">
        <v>68</v>
      </c>
    </row>
    <row r="35" customFormat="false" ht="33" hidden="false" customHeight="true" outlineLevel="0" collapsed="false">
      <c r="A35" s="21" t="s">
        <v>60</v>
      </c>
      <c r="B35" s="22" t="s">
        <v>61</v>
      </c>
      <c r="C35" s="21" t="s">
        <v>164</v>
      </c>
      <c r="D35" s="21" t="s">
        <v>191</v>
      </c>
      <c r="E35" s="23" t="s">
        <v>192</v>
      </c>
      <c r="F35" s="23" t="s">
        <v>167</v>
      </c>
      <c r="G35" s="24" t="s">
        <v>193</v>
      </c>
      <c r="H35" s="25" t="n">
        <v>27.1</v>
      </c>
      <c r="I35" s="26" t="s">
        <v>34</v>
      </c>
      <c r="J35" s="27"/>
      <c r="K35" s="26" t="s">
        <v>194</v>
      </c>
      <c r="L35" s="27" t="s">
        <v>100</v>
      </c>
      <c r="M35" s="28" t="n">
        <f aca="false">IF($H35="기한없음","",DATE(2000+VALUE(LEFT($H35,2)),VALUE(RIGHT($H35,1))*3+1,1)-1)</f>
        <v>46477</v>
      </c>
      <c r="N35" s="30" t="n">
        <f aca="false">IF($M35="","",$M35-이행현황요약!$B$3)</f>
        <v>271</v>
      </c>
      <c r="O35" s="30" t="str">
        <f aca="false">IF($H35="기한없음","기한없음",IF($N35&lt;0,"기한초과",IF($N35&lt;=34,"긴급",IF($N35&lt;=120,"주의",IF($N35&lt;=240,"관찰","여유")))))</f>
        <v>여유</v>
      </c>
      <c r="P35" s="30" t="s">
        <v>68</v>
      </c>
    </row>
    <row r="36" customFormat="false" ht="66" hidden="false" customHeight="true" outlineLevel="0" collapsed="false">
      <c r="A36" s="21" t="s">
        <v>60</v>
      </c>
      <c r="B36" s="22" t="s">
        <v>61</v>
      </c>
      <c r="C36" s="21" t="s">
        <v>164</v>
      </c>
      <c r="D36" s="21" t="s">
        <v>195</v>
      </c>
      <c r="E36" s="23" t="s">
        <v>196</v>
      </c>
      <c r="F36" s="23" t="s">
        <v>167</v>
      </c>
      <c r="G36" s="24" t="s">
        <v>197</v>
      </c>
      <c r="H36" s="25" t="n">
        <v>26.4</v>
      </c>
      <c r="I36" s="26" t="s">
        <v>34</v>
      </c>
      <c r="J36" s="27"/>
      <c r="K36" s="26" t="s">
        <v>42</v>
      </c>
      <c r="L36" s="27" t="s">
        <v>100</v>
      </c>
      <c r="M36" s="28" t="n">
        <f aca="false">IF($H36="기한없음","",DATE(2000+VALUE(LEFT($H36,2)),VALUE(RIGHT($H36,1))*3+1,1)-1)</f>
        <v>46387</v>
      </c>
      <c r="N36" s="30" t="n">
        <f aca="false">IF($M36="","",$M36-이행현황요약!$B$3)</f>
        <v>181</v>
      </c>
      <c r="O36" s="30" t="str">
        <f aca="false">IF($H36="기한없음","기한없음",IF($N36&lt;0,"기한초과",IF($N36&lt;=34,"긴급",IF($N36&lt;=120,"주의",IF($N36&lt;=240,"관찰","여유")))))</f>
        <v>관찰</v>
      </c>
      <c r="P36" s="30" t="s">
        <v>68</v>
      </c>
    </row>
    <row r="37" customFormat="false" ht="66" hidden="false" customHeight="true" outlineLevel="0" collapsed="false">
      <c r="A37" s="21" t="s">
        <v>60</v>
      </c>
      <c r="B37" s="22" t="s">
        <v>61</v>
      </c>
      <c r="C37" s="21" t="s">
        <v>164</v>
      </c>
      <c r="D37" s="21" t="s">
        <v>198</v>
      </c>
      <c r="E37" s="23" t="s">
        <v>199</v>
      </c>
      <c r="F37" s="23" t="s">
        <v>167</v>
      </c>
      <c r="G37" s="24" t="s">
        <v>200</v>
      </c>
      <c r="H37" s="25" t="n">
        <v>26.4</v>
      </c>
      <c r="I37" s="26" t="s">
        <v>34</v>
      </c>
      <c r="J37" s="27"/>
      <c r="K37" s="26" t="s">
        <v>201</v>
      </c>
      <c r="L37" s="27" t="s">
        <v>100</v>
      </c>
      <c r="M37" s="28" t="n">
        <f aca="false">IF($H37="기한없음","",DATE(2000+VALUE(LEFT($H37,2)),VALUE(RIGHT($H37,1))*3+1,1)-1)</f>
        <v>46387</v>
      </c>
      <c r="N37" s="30" t="n">
        <f aca="false">IF($M37="","",$M37-이행현황요약!$B$3)</f>
        <v>181</v>
      </c>
      <c r="O37" s="30" t="str">
        <f aca="false">IF($H37="기한없음","기한없음",IF($N37&lt;0,"기한초과",IF($N37&lt;=34,"긴급",IF($N37&lt;=120,"주의",IF($N37&lt;=240,"관찰","여유")))))</f>
        <v>관찰</v>
      </c>
      <c r="P37" s="30" t="s">
        <v>68</v>
      </c>
    </row>
    <row r="38" customFormat="false" ht="99" hidden="false" customHeight="true" outlineLevel="0" collapsed="false">
      <c r="A38" s="21" t="s">
        <v>60</v>
      </c>
      <c r="B38" s="22" t="s">
        <v>61</v>
      </c>
      <c r="C38" s="21" t="s">
        <v>202</v>
      </c>
      <c r="D38" s="21" t="s">
        <v>203</v>
      </c>
      <c r="E38" s="21" t="s">
        <v>204</v>
      </c>
      <c r="F38" s="23" t="s">
        <v>167</v>
      </c>
      <c r="G38" s="24" t="s">
        <v>205</v>
      </c>
      <c r="H38" s="25" t="n">
        <v>26.2</v>
      </c>
      <c r="I38" s="26" t="s">
        <v>34</v>
      </c>
      <c r="J38" s="27"/>
      <c r="K38" s="26" t="s">
        <v>206</v>
      </c>
      <c r="L38" s="27" t="s">
        <v>100</v>
      </c>
      <c r="M38" s="28" t="n">
        <f aca="false">IF($H38="기한없음","",DATE(2000+VALUE(LEFT($H38,2)),VALUE(RIGHT($H38,1))*3+1,1)-1)</f>
        <v>46203</v>
      </c>
      <c r="N38" s="30" t="n">
        <f aca="false">IF($M38="","",$M38-이행현황요약!$B$3)</f>
        <v>-3</v>
      </c>
      <c r="O38" s="30" t="str">
        <f aca="false">IF($H38="기한없음","기한없음",IF($N38&lt;0,"기한초과",IF($N38&lt;=34,"긴급",IF($N38&lt;=120,"주의",IF($N38&lt;=240,"관찰","여유")))))</f>
        <v>기한초과</v>
      </c>
      <c r="P38" s="30" t="s">
        <v>68</v>
      </c>
    </row>
    <row r="39" customFormat="false" ht="33" hidden="false" customHeight="true" outlineLevel="0" collapsed="false">
      <c r="A39" s="21" t="s">
        <v>60</v>
      </c>
      <c r="B39" s="22" t="s">
        <v>61</v>
      </c>
      <c r="C39" s="21" t="s">
        <v>202</v>
      </c>
      <c r="D39" s="21" t="s">
        <v>207</v>
      </c>
      <c r="E39" s="23" t="s">
        <v>208</v>
      </c>
      <c r="F39" s="23" t="s">
        <v>167</v>
      </c>
      <c r="G39" s="24" t="s">
        <v>209</v>
      </c>
      <c r="H39" s="25" t="n">
        <v>26.4</v>
      </c>
      <c r="I39" s="26" t="s">
        <v>34</v>
      </c>
      <c r="J39" s="27"/>
      <c r="K39" s="27"/>
      <c r="L39" s="27" t="s">
        <v>100</v>
      </c>
      <c r="M39" s="28" t="n">
        <f aca="false">IF($H39="기한없음","",DATE(2000+VALUE(LEFT($H39,2)),VALUE(RIGHT($H39,1))*3+1,1)-1)</f>
        <v>46387</v>
      </c>
      <c r="N39" s="30" t="n">
        <f aca="false">IF($M39="","",$M39-이행현황요약!$B$3)</f>
        <v>181</v>
      </c>
      <c r="O39" s="30" t="str">
        <f aca="false">IF($H39="기한없음","기한없음",IF($N39&lt;0,"기한초과",IF($N39&lt;=34,"긴급",IF($N39&lt;=120,"주의",IF($N39&lt;=240,"관찰","여유")))))</f>
        <v>관찰</v>
      </c>
      <c r="P39" s="30" t="s">
        <v>68</v>
      </c>
    </row>
    <row r="40" customFormat="false" ht="33" hidden="false" customHeight="true" outlineLevel="0" collapsed="false">
      <c r="A40" s="21" t="s">
        <v>60</v>
      </c>
      <c r="B40" s="22" t="s">
        <v>61</v>
      </c>
      <c r="C40" s="21" t="s">
        <v>202</v>
      </c>
      <c r="D40" s="21" t="s">
        <v>210</v>
      </c>
      <c r="E40" s="23" t="s">
        <v>211</v>
      </c>
      <c r="F40" s="23" t="s">
        <v>167</v>
      </c>
      <c r="G40" s="24" t="s">
        <v>212</v>
      </c>
      <c r="H40" s="25" t="n">
        <v>30.4</v>
      </c>
      <c r="I40" s="26" t="s">
        <v>34</v>
      </c>
      <c r="J40" s="27"/>
      <c r="K40" s="27"/>
      <c r="L40" s="27" t="s">
        <v>100</v>
      </c>
      <c r="M40" s="28" t="n">
        <f aca="false">IF($H40="기한없음","",DATE(2000+VALUE(LEFT($H40,2)),VALUE(RIGHT($H40,1))*3+1,1)-1)</f>
        <v>47848</v>
      </c>
      <c r="N40" s="30" t="n">
        <f aca="false">IF($M40="","",$M40-이행현황요약!$B$3)</f>
        <v>1642</v>
      </c>
      <c r="O40" s="30" t="str">
        <f aca="false">IF($H40="기한없음","기한없음",IF($N40&lt;0,"기한초과",IF($N40&lt;=34,"긴급",IF($N40&lt;=120,"주의",IF($N40&lt;=240,"관찰","여유")))))</f>
        <v>여유</v>
      </c>
      <c r="P40" s="30" t="s">
        <v>68</v>
      </c>
    </row>
    <row r="41" customFormat="false" ht="49.5" hidden="false" customHeight="true" outlineLevel="0" collapsed="false">
      <c r="A41" s="21" t="s">
        <v>60</v>
      </c>
      <c r="B41" s="22" t="s">
        <v>61</v>
      </c>
      <c r="C41" s="21" t="s">
        <v>202</v>
      </c>
      <c r="D41" s="21" t="s">
        <v>213</v>
      </c>
      <c r="E41" s="21" t="s">
        <v>214</v>
      </c>
      <c r="F41" s="23" t="s">
        <v>167</v>
      </c>
      <c r="G41" s="31" t="s">
        <v>215</v>
      </c>
      <c r="H41" s="25" t="n">
        <v>26.4</v>
      </c>
      <c r="I41" s="26" t="s">
        <v>216</v>
      </c>
      <c r="J41" s="27" t="s">
        <v>94</v>
      </c>
      <c r="K41" s="27"/>
      <c r="L41" s="27" t="s">
        <v>100</v>
      </c>
      <c r="M41" s="28" t="n">
        <f aca="false">IF($H41="기한없음","",DATE(2000+VALUE(LEFT($H41,2)),VALUE(RIGHT($H41,1))*3+1,1)-1)</f>
        <v>46387</v>
      </c>
      <c r="N41" s="30" t="n">
        <f aca="false">IF($M41="","",$M41-이행현황요약!$B$3)</f>
        <v>181</v>
      </c>
      <c r="O41" s="30" t="str">
        <f aca="false">IF($H41="기한없음","기한없음",IF($N41&lt;0,"기한초과",IF($N41&lt;=34,"긴급",IF($N41&lt;=120,"주의",IF($N41&lt;=240,"관찰","여유")))))</f>
        <v>관찰</v>
      </c>
      <c r="P41" s="30" t="s">
        <v>68</v>
      </c>
    </row>
    <row r="42" customFormat="false" ht="33" hidden="false" customHeight="true" outlineLevel="0" collapsed="false">
      <c r="A42" s="21" t="s">
        <v>60</v>
      </c>
      <c r="B42" s="22" t="s">
        <v>61</v>
      </c>
      <c r="C42" s="21" t="s">
        <v>202</v>
      </c>
      <c r="D42" s="21" t="s">
        <v>217</v>
      </c>
      <c r="E42" s="23" t="s">
        <v>218</v>
      </c>
      <c r="F42" s="23" t="s">
        <v>167</v>
      </c>
      <c r="G42" s="24" t="s">
        <v>219</v>
      </c>
      <c r="H42" s="25" t="n">
        <v>27.4</v>
      </c>
      <c r="I42" s="26" t="s">
        <v>169</v>
      </c>
      <c r="J42" s="27"/>
      <c r="K42" s="27"/>
      <c r="L42" s="27" t="s">
        <v>100</v>
      </c>
      <c r="M42" s="28" t="n">
        <f aca="false">IF($H42="기한없음","",DATE(2000+VALUE(LEFT($H42,2)),VALUE(RIGHT($H42,1))*3+1,1)-1)</f>
        <v>46752</v>
      </c>
      <c r="N42" s="30" t="n">
        <f aca="false">IF($M42="","",$M42-이행현황요약!$B$3)</f>
        <v>546</v>
      </c>
      <c r="O42" s="30" t="str">
        <f aca="false">IF($H42="기한없음","기한없음",IF($N42&lt;0,"기한초과",IF($N42&lt;=34,"긴급",IF($N42&lt;=120,"주의",IF($N42&lt;=240,"관찰","여유")))))</f>
        <v>여유</v>
      </c>
      <c r="P42" s="30" t="s">
        <v>68</v>
      </c>
    </row>
    <row r="43" customFormat="false" ht="33" hidden="false" customHeight="true" outlineLevel="0" collapsed="false">
      <c r="A43" s="21" t="s">
        <v>60</v>
      </c>
      <c r="B43" s="22" t="s">
        <v>61</v>
      </c>
      <c r="C43" s="21" t="s">
        <v>202</v>
      </c>
      <c r="D43" s="21" t="s">
        <v>220</v>
      </c>
      <c r="E43" s="21" t="s">
        <v>221</v>
      </c>
      <c r="F43" s="23" t="s">
        <v>167</v>
      </c>
      <c r="G43" s="24" t="s">
        <v>222</v>
      </c>
      <c r="H43" s="25" t="n">
        <v>26.4</v>
      </c>
      <c r="I43" s="26" t="s">
        <v>34</v>
      </c>
      <c r="J43" s="27"/>
      <c r="K43" s="27"/>
      <c r="L43" s="27" t="s">
        <v>100</v>
      </c>
      <c r="M43" s="28" t="n">
        <f aca="false">IF($H43="기한없음","",DATE(2000+VALUE(LEFT($H43,2)),VALUE(RIGHT($H43,1))*3+1,1)-1)</f>
        <v>46387</v>
      </c>
      <c r="N43" s="30" t="n">
        <f aca="false">IF($M43="","",$M43-이행현황요약!$B$3)</f>
        <v>181</v>
      </c>
      <c r="O43" s="30" t="str">
        <f aca="false">IF($H43="기한없음","기한없음",IF($N43&lt;0,"기한초과",IF($N43&lt;=34,"긴급",IF($N43&lt;=120,"주의",IF($N43&lt;=240,"관찰","여유")))))</f>
        <v>관찰</v>
      </c>
      <c r="P43" s="30" t="s">
        <v>68</v>
      </c>
    </row>
    <row r="44" customFormat="false" ht="33" hidden="false" customHeight="true" outlineLevel="0" collapsed="false">
      <c r="A44" s="21" t="s">
        <v>60</v>
      </c>
      <c r="B44" s="22" t="s">
        <v>61</v>
      </c>
      <c r="C44" s="21" t="s">
        <v>202</v>
      </c>
      <c r="D44" s="21" t="s">
        <v>223</v>
      </c>
      <c r="E44" s="21" t="s">
        <v>224</v>
      </c>
      <c r="F44" s="23" t="s">
        <v>167</v>
      </c>
      <c r="G44" s="24" t="s">
        <v>225</v>
      </c>
      <c r="H44" s="25" t="n">
        <v>27.4</v>
      </c>
      <c r="I44" s="26" t="s">
        <v>34</v>
      </c>
      <c r="J44" s="27"/>
      <c r="K44" s="26" t="s">
        <v>226</v>
      </c>
      <c r="L44" s="27" t="s">
        <v>100</v>
      </c>
      <c r="M44" s="28" t="n">
        <f aca="false">IF($H44="기한없음","",DATE(2000+VALUE(LEFT($H44,2)),VALUE(RIGHT($H44,1))*3+1,1)-1)</f>
        <v>46752</v>
      </c>
      <c r="N44" s="30" t="n">
        <f aca="false">IF($M44="","",$M44-이행현황요약!$B$3)</f>
        <v>546</v>
      </c>
      <c r="O44" s="30" t="str">
        <f aca="false">IF($H44="기한없음","기한없음",IF($N44&lt;0,"기한초과",IF($N44&lt;=34,"긴급",IF($N44&lt;=120,"주의",IF($N44&lt;=240,"관찰","여유")))))</f>
        <v>여유</v>
      </c>
      <c r="P44" s="30" t="s">
        <v>68</v>
      </c>
    </row>
    <row r="45" customFormat="false" ht="33" hidden="false" customHeight="true" outlineLevel="0" collapsed="false">
      <c r="A45" s="21" t="s">
        <v>60</v>
      </c>
      <c r="B45" s="22" t="s">
        <v>61</v>
      </c>
      <c r="C45" s="21" t="s">
        <v>227</v>
      </c>
      <c r="D45" s="21" t="s">
        <v>228</v>
      </c>
      <c r="E45" s="23" t="s">
        <v>229</v>
      </c>
      <c r="F45" s="23" t="s">
        <v>167</v>
      </c>
      <c r="G45" s="31" t="s">
        <v>230</v>
      </c>
      <c r="H45" s="32" t="s">
        <v>17</v>
      </c>
      <c r="I45" s="26" t="s">
        <v>206</v>
      </c>
      <c r="J45" s="27"/>
      <c r="K45" s="27"/>
      <c r="L45" s="27" t="s">
        <v>100</v>
      </c>
      <c r="M45" s="28" t="str">
        <f aca="false">IF($H45="기한없음","",DATE(2000+VALUE(LEFT($H45,2)),VALUE(RIGHT($H45,1))*3+1,1)-1)</f>
        <v/>
      </c>
      <c r="N45" s="30" t="str">
        <f aca="false">IF($M45="","",$M45-이행현황요약!$B$3)</f>
        <v/>
      </c>
      <c r="O45" s="30" t="str">
        <f aca="false">IF($H45="기한없음","기한없음",IF($N45&lt;0,"기한초과",IF($N45&lt;=34,"긴급",IF($N45&lt;=120,"주의",IF($N45&lt;=240,"관찰","여유")))))</f>
        <v>기한없음</v>
      </c>
      <c r="P45" s="30" t="s">
        <v>68</v>
      </c>
    </row>
    <row r="46" customFormat="false" ht="33" hidden="false" customHeight="true" outlineLevel="0" collapsed="false">
      <c r="A46" s="21" t="s">
        <v>60</v>
      </c>
      <c r="B46" s="22" t="s">
        <v>61</v>
      </c>
      <c r="C46" s="21" t="s">
        <v>227</v>
      </c>
      <c r="D46" s="21" t="s">
        <v>231</v>
      </c>
      <c r="E46" s="23" t="s">
        <v>232</v>
      </c>
      <c r="F46" s="23" t="s">
        <v>167</v>
      </c>
      <c r="G46" s="33" t="s">
        <v>233</v>
      </c>
      <c r="H46" s="25" t="n">
        <v>26.2</v>
      </c>
      <c r="I46" s="26" t="s">
        <v>206</v>
      </c>
      <c r="J46" s="27"/>
      <c r="K46" s="27"/>
      <c r="L46" s="27" t="s">
        <v>100</v>
      </c>
      <c r="M46" s="28" t="n">
        <f aca="false">IF($H46="기한없음","",DATE(2000+VALUE(LEFT($H46,2)),VALUE(RIGHT($H46,1))*3+1,1)-1)</f>
        <v>46203</v>
      </c>
      <c r="N46" s="30" t="n">
        <f aca="false">IF($M46="","",$M46-이행현황요약!$B$3)</f>
        <v>-3</v>
      </c>
      <c r="O46" s="30" t="str">
        <f aca="false">IF($H46="기한없음","기한없음",IF($N46&lt;0,"기한초과",IF($N46&lt;=34,"긴급",IF($N46&lt;=120,"주의",IF($N46&lt;=240,"관찰","여유")))))</f>
        <v>기한초과</v>
      </c>
      <c r="P46" s="30" t="s">
        <v>68</v>
      </c>
    </row>
    <row r="47" customFormat="false" ht="33" hidden="false" customHeight="true" outlineLevel="0" collapsed="false">
      <c r="A47" s="21" t="s">
        <v>60</v>
      </c>
      <c r="B47" s="22" t="s">
        <v>61</v>
      </c>
      <c r="C47" s="21" t="s">
        <v>227</v>
      </c>
      <c r="D47" s="21" t="s">
        <v>234</v>
      </c>
      <c r="E47" s="23" t="s">
        <v>235</v>
      </c>
      <c r="F47" s="23" t="s">
        <v>167</v>
      </c>
      <c r="G47" s="24" t="s">
        <v>236</v>
      </c>
      <c r="H47" s="25" t="n">
        <v>27.2</v>
      </c>
      <c r="I47" s="26" t="s">
        <v>206</v>
      </c>
      <c r="J47" s="27"/>
      <c r="K47" s="26" t="s">
        <v>237</v>
      </c>
      <c r="L47" s="27" t="s">
        <v>100</v>
      </c>
      <c r="M47" s="28" t="n">
        <f aca="false">IF($H47="기한없음","",DATE(2000+VALUE(LEFT($H47,2)),VALUE(RIGHT($H47,1))*3+1,1)-1)</f>
        <v>46568</v>
      </c>
      <c r="N47" s="30" t="n">
        <f aca="false">IF($M47="","",$M47-이행현황요약!$B$3)</f>
        <v>362</v>
      </c>
      <c r="O47" s="30" t="str">
        <f aca="false">IF($H47="기한없음","기한없음",IF($N47&lt;0,"기한초과",IF($N47&lt;=34,"긴급",IF($N47&lt;=120,"주의",IF($N47&lt;=240,"관찰","여유")))))</f>
        <v>여유</v>
      </c>
      <c r="P47" s="30" t="s">
        <v>68</v>
      </c>
    </row>
    <row r="48" customFormat="false" ht="49.5" hidden="false" customHeight="true" outlineLevel="0" collapsed="false">
      <c r="A48" s="21" t="s">
        <v>60</v>
      </c>
      <c r="B48" s="22" t="s">
        <v>61</v>
      </c>
      <c r="C48" s="21" t="s">
        <v>227</v>
      </c>
      <c r="D48" s="21" t="s">
        <v>238</v>
      </c>
      <c r="E48" s="23" t="s">
        <v>239</v>
      </c>
      <c r="F48" s="23" t="s">
        <v>167</v>
      </c>
      <c r="G48" s="24" t="s">
        <v>240</v>
      </c>
      <c r="H48" s="32" t="s">
        <v>17</v>
      </c>
      <c r="I48" s="26" t="s">
        <v>206</v>
      </c>
      <c r="J48" s="27"/>
      <c r="K48" s="26" t="s">
        <v>241</v>
      </c>
      <c r="L48" s="27" t="s">
        <v>100</v>
      </c>
      <c r="M48" s="28" t="str">
        <f aca="false">IF($H48="기한없음","",DATE(2000+VALUE(LEFT($H48,2)),VALUE(RIGHT($H48,1))*3+1,1)-1)</f>
        <v/>
      </c>
      <c r="N48" s="30" t="str">
        <f aca="false">IF($M48="","",$M48-이행현황요약!$B$3)</f>
        <v/>
      </c>
      <c r="O48" s="30" t="str">
        <f aca="false">IF($H48="기한없음","기한없음",IF($N48&lt;0,"기한초과",IF($N48&lt;=34,"긴급",IF($N48&lt;=120,"주의",IF($N48&lt;=240,"관찰","여유")))))</f>
        <v>기한없음</v>
      </c>
      <c r="P48" s="30" t="s">
        <v>68</v>
      </c>
    </row>
    <row r="49" customFormat="false" ht="33" hidden="false" customHeight="true" outlineLevel="0" collapsed="false">
      <c r="A49" s="21" t="s">
        <v>60</v>
      </c>
      <c r="B49" s="22" t="s">
        <v>61</v>
      </c>
      <c r="C49" s="21" t="s">
        <v>227</v>
      </c>
      <c r="D49" s="21" t="s">
        <v>242</v>
      </c>
      <c r="E49" s="21" t="s">
        <v>243</v>
      </c>
      <c r="F49" s="23" t="s">
        <v>167</v>
      </c>
      <c r="G49" s="24" t="s">
        <v>244</v>
      </c>
      <c r="H49" s="32" t="s">
        <v>17</v>
      </c>
      <c r="I49" s="26" t="s">
        <v>206</v>
      </c>
      <c r="J49" s="27"/>
      <c r="K49" s="26" t="s">
        <v>245</v>
      </c>
      <c r="L49" s="27" t="s">
        <v>100</v>
      </c>
      <c r="M49" s="28" t="str">
        <f aca="false">IF($H49="기한없음","",DATE(2000+VALUE(LEFT($H49,2)),VALUE(RIGHT($H49,1))*3+1,1)-1)</f>
        <v/>
      </c>
      <c r="N49" s="30" t="str">
        <f aca="false">IF($M49="","",$M49-이행현황요약!$B$3)</f>
        <v/>
      </c>
      <c r="O49" s="30" t="str">
        <f aca="false">IF($H49="기한없음","기한없음",IF($N49&lt;0,"기한초과",IF($N49&lt;=34,"긴급",IF($N49&lt;=120,"주의",IF($N49&lt;=240,"관찰","여유")))))</f>
        <v>기한없음</v>
      </c>
      <c r="P49" s="30" t="s">
        <v>68</v>
      </c>
    </row>
    <row r="50" customFormat="false" ht="49.5" hidden="false" customHeight="true" outlineLevel="0" collapsed="false">
      <c r="A50" s="21" t="s">
        <v>60</v>
      </c>
      <c r="B50" s="22" t="s">
        <v>61</v>
      </c>
      <c r="C50" s="21" t="s">
        <v>227</v>
      </c>
      <c r="D50" s="21" t="s">
        <v>246</v>
      </c>
      <c r="E50" s="21" t="s">
        <v>247</v>
      </c>
      <c r="F50" s="23" t="s">
        <v>167</v>
      </c>
      <c r="G50" s="24" t="s">
        <v>248</v>
      </c>
      <c r="H50" s="25" t="n">
        <v>26.4</v>
      </c>
      <c r="I50" s="26" t="s">
        <v>249</v>
      </c>
      <c r="J50" s="27"/>
      <c r="K50" s="27"/>
      <c r="L50" s="27" t="s">
        <v>100</v>
      </c>
      <c r="M50" s="28" t="n">
        <f aca="false">IF($H50="기한없음","",DATE(2000+VALUE(LEFT($H50,2)),VALUE(RIGHT($H50,1))*3+1,1)-1)</f>
        <v>46387</v>
      </c>
      <c r="N50" s="30" t="n">
        <f aca="false">IF($M50="","",$M50-이행현황요약!$B$3)</f>
        <v>181</v>
      </c>
      <c r="O50" s="30" t="str">
        <f aca="false">IF($H50="기한없음","기한없음",IF($N50&lt;0,"기한초과",IF($N50&lt;=34,"긴급",IF($N50&lt;=120,"주의",IF($N50&lt;=240,"관찰","여유")))))</f>
        <v>관찰</v>
      </c>
      <c r="P50" s="30" t="s">
        <v>68</v>
      </c>
    </row>
    <row r="51" customFormat="false" ht="66" hidden="false" customHeight="true" outlineLevel="0" collapsed="false">
      <c r="A51" s="21" t="s">
        <v>60</v>
      </c>
      <c r="B51" s="22" t="s">
        <v>250</v>
      </c>
      <c r="C51" s="21" t="s">
        <v>251</v>
      </c>
      <c r="D51" s="21" t="s">
        <v>252</v>
      </c>
      <c r="E51" s="23" t="s">
        <v>253</v>
      </c>
      <c r="F51" s="23" t="s">
        <v>254</v>
      </c>
      <c r="G51" s="24" t="s">
        <v>255</v>
      </c>
      <c r="H51" s="25" t="n">
        <v>26.2</v>
      </c>
      <c r="I51" s="26" t="s">
        <v>39</v>
      </c>
      <c r="J51" s="27"/>
      <c r="K51" s="27"/>
      <c r="L51" s="26" t="s">
        <v>256</v>
      </c>
      <c r="M51" s="28" t="n">
        <f aca="false">IF($H51="기한없음","",DATE(2000+VALUE(LEFT($H51,2)),VALUE(RIGHT($H51,1))*3+1,1)-1)</f>
        <v>46203</v>
      </c>
      <c r="N51" s="30" t="n">
        <f aca="false">IF($M51="","",$M51-이행현황요약!$B$3)</f>
        <v>-3</v>
      </c>
      <c r="O51" s="30" t="str">
        <f aca="false">IF($H51="기한없음","기한없음",IF($N51&lt;0,"기한초과",IF($N51&lt;=34,"긴급",IF($N51&lt;=120,"주의",IF($N51&lt;=240,"관찰","여유")))))</f>
        <v>기한초과</v>
      </c>
      <c r="P51" s="30" t="s">
        <v>68</v>
      </c>
    </row>
    <row r="52" customFormat="false" ht="33" hidden="false" customHeight="true" outlineLevel="0" collapsed="false">
      <c r="A52" s="21" t="s">
        <v>60</v>
      </c>
      <c r="B52" s="22" t="s">
        <v>250</v>
      </c>
      <c r="C52" s="21" t="s">
        <v>251</v>
      </c>
      <c r="D52" s="21" t="s">
        <v>257</v>
      </c>
      <c r="E52" s="23" t="s">
        <v>258</v>
      </c>
      <c r="F52" s="23" t="s">
        <v>254</v>
      </c>
      <c r="G52" s="24" t="s">
        <v>259</v>
      </c>
      <c r="H52" s="25" t="n">
        <v>26.2</v>
      </c>
      <c r="I52" s="26" t="s">
        <v>39</v>
      </c>
      <c r="J52" s="27"/>
      <c r="K52" s="27"/>
      <c r="L52" s="26" t="s">
        <v>256</v>
      </c>
      <c r="M52" s="28" t="n">
        <f aca="false">IF($H52="기한없음","",DATE(2000+VALUE(LEFT($H52,2)),VALUE(RIGHT($H52,1))*3+1,1)-1)</f>
        <v>46203</v>
      </c>
      <c r="N52" s="30" t="n">
        <f aca="false">IF($M52="","",$M52-이행현황요약!$B$3)</f>
        <v>-3</v>
      </c>
      <c r="O52" s="30" t="str">
        <f aca="false">IF($H52="기한없음","기한없음",IF($N52&lt;0,"기한초과",IF($N52&lt;=34,"긴급",IF($N52&lt;=120,"주의",IF($N52&lt;=240,"관찰","여유")))))</f>
        <v>기한초과</v>
      </c>
      <c r="P52" s="30" t="s">
        <v>68</v>
      </c>
    </row>
    <row r="53" customFormat="false" ht="49.5" hidden="false" customHeight="true" outlineLevel="0" collapsed="false">
      <c r="A53" s="21" t="s">
        <v>60</v>
      </c>
      <c r="B53" s="22" t="s">
        <v>250</v>
      </c>
      <c r="C53" s="21" t="s">
        <v>251</v>
      </c>
      <c r="D53" s="21" t="s">
        <v>260</v>
      </c>
      <c r="E53" s="23" t="s">
        <v>261</v>
      </c>
      <c r="F53" s="23" t="s">
        <v>254</v>
      </c>
      <c r="G53" s="24" t="s">
        <v>262</v>
      </c>
      <c r="H53" s="25" t="n">
        <v>26.4</v>
      </c>
      <c r="I53" s="26" t="s">
        <v>39</v>
      </c>
      <c r="J53" s="27"/>
      <c r="K53" s="27"/>
      <c r="L53" s="26" t="s">
        <v>256</v>
      </c>
      <c r="M53" s="28" t="n">
        <f aca="false">IF($H53="기한없음","",DATE(2000+VALUE(LEFT($H53,2)),VALUE(RIGHT($H53,1))*3+1,1)-1)</f>
        <v>46387</v>
      </c>
      <c r="N53" s="30" t="n">
        <f aca="false">IF($M53="","",$M53-이행현황요약!$B$3)</f>
        <v>181</v>
      </c>
      <c r="O53" s="30" t="str">
        <f aca="false">IF($H53="기한없음","기한없음",IF($N53&lt;0,"기한초과",IF($N53&lt;=34,"긴급",IF($N53&lt;=120,"주의",IF($N53&lt;=240,"관찰","여유")))))</f>
        <v>관찰</v>
      </c>
      <c r="P53" s="30" t="s">
        <v>68</v>
      </c>
    </row>
    <row r="54" customFormat="false" ht="66" hidden="false" customHeight="true" outlineLevel="0" collapsed="false">
      <c r="A54" s="21" t="s">
        <v>60</v>
      </c>
      <c r="B54" s="22" t="s">
        <v>250</v>
      </c>
      <c r="C54" s="21" t="s">
        <v>263</v>
      </c>
      <c r="D54" s="21" t="s">
        <v>264</v>
      </c>
      <c r="E54" s="21" t="s">
        <v>265</v>
      </c>
      <c r="F54" s="23" t="s">
        <v>254</v>
      </c>
      <c r="G54" s="24" t="s">
        <v>266</v>
      </c>
      <c r="H54" s="25" t="n">
        <v>26.2</v>
      </c>
      <c r="I54" s="26" t="s">
        <v>39</v>
      </c>
      <c r="J54" s="27"/>
      <c r="K54" s="27"/>
      <c r="L54" s="26" t="s">
        <v>256</v>
      </c>
      <c r="M54" s="28" t="n">
        <f aca="false">IF($H54="기한없음","",DATE(2000+VALUE(LEFT($H54,2)),VALUE(RIGHT($H54,1))*3+1,1)-1)</f>
        <v>46203</v>
      </c>
      <c r="N54" s="30" t="n">
        <f aca="false">IF($M54="","",$M54-이행현황요약!$B$3)</f>
        <v>-3</v>
      </c>
      <c r="O54" s="30" t="str">
        <f aca="false">IF($H54="기한없음","기한없음",IF($N54&lt;0,"기한초과",IF($N54&lt;=34,"긴급",IF($N54&lt;=120,"주의",IF($N54&lt;=240,"관찰","여유")))))</f>
        <v>기한초과</v>
      </c>
      <c r="P54" s="30" t="s">
        <v>68</v>
      </c>
    </row>
    <row r="55" customFormat="false" ht="33" hidden="false" customHeight="true" outlineLevel="0" collapsed="false">
      <c r="A55" s="21" t="s">
        <v>60</v>
      </c>
      <c r="B55" s="22" t="s">
        <v>250</v>
      </c>
      <c r="C55" s="21" t="s">
        <v>263</v>
      </c>
      <c r="D55" s="21" t="s">
        <v>267</v>
      </c>
      <c r="E55" s="23" t="s">
        <v>268</v>
      </c>
      <c r="F55" s="23" t="s">
        <v>254</v>
      </c>
      <c r="G55" s="24" t="s">
        <v>269</v>
      </c>
      <c r="H55" s="25" t="n">
        <v>26.3</v>
      </c>
      <c r="I55" s="26" t="s">
        <v>39</v>
      </c>
      <c r="J55" s="27"/>
      <c r="K55" s="27"/>
      <c r="L55" s="26" t="s">
        <v>256</v>
      </c>
      <c r="M55" s="28" t="n">
        <f aca="false">IF($H55="기한없음","",DATE(2000+VALUE(LEFT($H55,2)),VALUE(RIGHT($H55,1))*3+1,1)-1)</f>
        <v>46295</v>
      </c>
      <c r="N55" s="30" t="n">
        <f aca="false">IF($M55="","",$M55-이행현황요약!$B$3)</f>
        <v>89</v>
      </c>
      <c r="O55" s="30" t="str">
        <f aca="false">IF($H55="기한없음","기한없음",IF($N55&lt;0,"기한초과",IF($N55&lt;=34,"긴급",IF($N55&lt;=120,"주의",IF($N55&lt;=240,"관찰","여유")))))</f>
        <v>주의</v>
      </c>
      <c r="P55" s="30" t="s">
        <v>68</v>
      </c>
    </row>
    <row r="56" customFormat="false" ht="33" hidden="false" customHeight="true" outlineLevel="0" collapsed="false">
      <c r="A56" s="21" t="s">
        <v>60</v>
      </c>
      <c r="B56" s="22" t="s">
        <v>250</v>
      </c>
      <c r="C56" s="21" t="s">
        <v>263</v>
      </c>
      <c r="D56" s="21" t="s">
        <v>270</v>
      </c>
      <c r="E56" s="23" t="s">
        <v>271</v>
      </c>
      <c r="F56" s="23" t="s">
        <v>254</v>
      </c>
      <c r="G56" s="24" t="s">
        <v>272</v>
      </c>
      <c r="H56" s="25" t="n">
        <v>26.3</v>
      </c>
      <c r="I56" s="26" t="s">
        <v>39</v>
      </c>
      <c r="J56" s="27"/>
      <c r="K56" s="27"/>
      <c r="L56" s="26" t="s">
        <v>256</v>
      </c>
      <c r="M56" s="28" t="n">
        <f aca="false">IF($H56="기한없음","",DATE(2000+VALUE(LEFT($H56,2)),VALUE(RIGHT($H56,1))*3+1,1)-1)</f>
        <v>46295</v>
      </c>
      <c r="N56" s="30" t="n">
        <f aca="false">IF($M56="","",$M56-이행현황요약!$B$3)</f>
        <v>89</v>
      </c>
      <c r="O56" s="30" t="str">
        <f aca="false">IF($H56="기한없음","기한없음",IF($N56&lt;0,"기한초과",IF($N56&lt;=34,"긴급",IF($N56&lt;=120,"주의",IF($N56&lt;=240,"관찰","여유")))))</f>
        <v>주의</v>
      </c>
      <c r="P56" s="30" t="s">
        <v>68</v>
      </c>
    </row>
    <row r="57" customFormat="false" ht="49.5" hidden="false" customHeight="true" outlineLevel="0" collapsed="false">
      <c r="A57" s="21" t="s">
        <v>60</v>
      </c>
      <c r="B57" s="22" t="s">
        <v>250</v>
      </c>
      <c r="C57" s="21" t="s">
        <v>273</v>
      </c>
      <c r="D57" s="21" t="s">
        <v>274</v>
      </c>
      <c r="E57" s="23" t="s">
        <v>275</v>
      </c>
      <c r="F57" s="23" t="s">
        <v>254</v>
      </c>
      <c r="G57" s="24" t="s">
        <v>276</v>
      </c>
      <c r="H57" s="25" t="n">
        <v>26.2</v>
      </c>
      <c r="I57" s="26" t="s">
        <v>39</v>
      </c>
      <c r="J57" s="27"/>
      <c r="K57" s="27"/>
      <c r="L57" s="26" t="s">
        <v>256</v>
      </c>
      <c r="M57" s="28" t="n">
        <f aca="false">IF($H57="기한없음","",DATE(2000+VALUE(LEFT($H57,2)),VALUE(RIGHT($H57,1))*3+1,1)-1)</f>
        <v>46203</v>
      </c>
      <c r="N57" s="30" t="n">
        <f aca="false">IF($M57="","",$M57-이행현황요약!$B$3)</f>
        <v>-3</v>
      </c>
      <c r="O57" s="30" t="str">
        <f aca="false">IF($H57="기한없음","기한없음",IF($N57&lt;0,"기한초과",IF($N57&lt;=34,"긴급",IF($N57&lt;=120,"주의",IF($N57&lt;=240,"관찰","여유")))))</f>
        <v>기한초과</v>
      </c>
      <c r="P57" s="30" t="s">
        <v>68</v>
      </c>
    </row>
    <row r="58" customFormat="false" ht="33" hidden="false" customHeight="true" outlineLevel="0" collapsed="false">
      <c r="A58" s="21" t="s">
        <v>60</v>
      </c>
      <c r="B58" s="22" t="s">
        <v>250</v>
      </c>
      <c r="C58" s="21" t="s">
        <v>273</v>
      </c>
      <c r="D58" s="21" t="s">
        <v>277</v>
      </c>
      <c r="E58" s="23" t="s">
        <v>278</v>
      </c>
      <c r="F58" s="23" t="s">
        <v>254</v>
      </c>
      <c r="G58" s="24" t="s">
        <v>279</v>
      </c>
      <c r="H58" s="25" t="n">
        <v>27.4</v>
      </c>
      <c r="I58" s="26" t="s">
        <v>39</v>
      </c>
      <c r="J58" s="27"/>
      <c r="K58" s="27"/>
      <c r="L58" s="26" t="s">
        <v>256</v>
      </c>
      <c r="M58" s="28" t="n">
        <f aca="false">IF($H58="기한없음","",DATE(2000+VALUE(LEFT($H58,2)),VALUE(RIGHT($H58,1))*3+1,1)-1)</f>
        <v>46752</v>
      </c>
      <c r="N58" s="30" t="n">
        <f aca="false">IF($M58="","",$M58-이행현황요약!$B$3)</f>
        <v>546</v>
      </c>
      <c r="O58" s="30" t="str">
        <f aca="false">IF($H58="기한없음","기한없음",IF($N58&lt;0,"기한초과",IF($N58&lt;=34,"긴급",IF($N58&lt;=120,"주의",IF($N58&lt;=240,"관찰","여유")))))</f>
        <v>여유</v>
      </c>
      <c r="P58" s="30" t="s">
        <v>68</v>
      </c>
    </row>
    <row r="59" customFormat="false" ht="49.5" hidden="false" customHeight="true" outlineLevel="0" collapsed="false">
      <c r="A59" s="21" t="s">
        <v>60</v>
      </c>
      <c r="B59" s="22" t="s">
        <v>250</v>
      </c>
      <c r="C59" s="21" t="s">
        <v>273</v>
      </c>
      <c r="D59" s="21" t="s">
        <v>280</v>
      </c>
      <c r="E59" s="23" t="s">
        <v>281</v>
      </c>
      <c r="F59" s="23" t="s">
        <v>254</v>
      </c>
      <c r="G59" s="24" t="s">
        <v>282</v>
      </c>
      <c r="H59" s="25" t="n">
        <v>26.2</v>
      </c>
      <c r="I59" s="26" t="s">
        <v>39</v>
      </c>
      <c r="J59" s="27"/>
      <c r="K59" s="27"/>
      <c r="L59" s="26" t="s">
        <v>256</v>
      </c>
      <c r="M59" s="28" t="n">
        <f aca="false">IF($H59="기한없음","",DATE(2000+VALUE(LEFT($H59,2)),VALUE(RIGHT($H59,1))*3+1,1)-1)</f>
        <v>46203</v>
      </c>
      <c r="N59" s="30" t="n">
        <f aca="false">IF($M59="","",$M59-이행현황요약!$B$3)</f>
        <v>-3</v>
      </c>
      <c r="O59" s="30" t="str">
        <f aca="false">IF($H59="기한없음","기한없음",IF($N59&lt;0,"기한초과",IF($N59&lt;=34,"긴급",IF($N59&lt;=120,"주의",IF($N59&lt;=240,"관찰","여유")))))</f>
        <v>기한초과</v>
      </c>
      <c r="P59" s="30" t="s">
        <v>68</v>
      </c>
    </row>
    <row r="60" customFormat="false" ht="49.5" hidden="false" customHeight="true" outlineLevel="0" collapsed="false">
      <c r="A60" s="21" t="s">
        <v>60</v>
      </c>
      <c r="B60" s="22" t="s">
        <v>250</v>
      </c>
      <c r="C60" s="21" t="s">
        <v>273</v>
      </c>
      <c r="D60" s="21" t="s">
        <v>283</v>
      </c>
      <c r="E60" s="23" t="s">
        <v>284</v>
      </c>
      <c r="F60" s="23" t="s">
        <v>254</v>
      </c>
      <c r="G60" s="24" t="s">
        <v>285</v>
      </c>
      <c r="H60" s="25" t="n">
        <v>26.2</v>
      </c>
      <c r="I60" s="26" t="s">
        <v>39</v>
      </c>
      <c r="J60" s="27"/>
      <c r="K60" s="27"/>
      <c r="L60" s="26" t="s">
        <v>256</v>
      </c>
      <c r="M60" s="28" t="n">
        <f aca="false">IF($H60="기한없음","",DATE(2000+VALUE(LEFT($H60,2)),VALUE(RIGHT($H60,1))*3+1,1)-1)</f>
        <v>46203</v>
      </c>
      <c r="N60" s="30" t="n">
        <f aca="false">IF($M60="","",$M60-이행현황요약!$B$3)</f>
        <v>-3</v>
      </c>
      <c r="O60" s="30" t="str">
        <f aca="false">IF($H60="기한없음","기한없음",IF($N60&lt;0,"기한초과",IF($N60&lt;=34,"긴급",IF($N60&lt;=120,"주의",IF($N60&lt;=240,"관찰","여유")))))</f>
        <v>기한초과</v>
      </c>
      <c r="P60" s="30" t="s">
        <v>68</v>
      </c>
    </row>
    <row r="61" customFormat="false" ht="49.5" hidden="false" customHeight="true" outlineLevel="0" collapsed="false">
      <c r="A61" s="21" t="s">
        <v>60</v>
      </c>
      <c r="B61" s="22" t="s">
        <v>250</v>
      </c>
      <c r="C61" s="21" t="s">
        <v>286</v>
      </c>
      <c r="D61" s="21" t="s">
        <v>287</v>
      </c>
      <c r="E61" s="23" t="s">
        <v>288</v>
      </c>
      <c r="F61" s="23" t="s">
        <v>289</v>
      </c>
      <c r="G61" s="24" t="s">
        <v>290</v>
      </c>
      <c r="H61" s="25" t="n">
        <v>26.2</v>
      </c>
      <c r="I61" s="26" t="s">
        <v>39</v>
      </c>
      <c r="J61" s="27"/>
      <c r="K61" s="27"/>
      <c r="L61" s="27" t="s">
        <v>125</v>
      </c>
      <c r="M61" s="28" t="n">
        <f aca="false">IF($H61="기한없음","",DATE(2000+VALUE(LEFT($H61,2)),VALUE(RIGHT($H61,1))*3+1,1)-1)</f>
        <v>46203</v>
      </c>
      <c r="N61" s="30" t="n">
        <f aca="false">IF($M61="","",$M61-이행현황요약!$B$3)</f>
        <v>-3</v>
      </c>
      <c r="O61" s="30" t="str">
        <f aca="false">IF($H61="기한없음","기한없음",IF($N61&lt;0,"기한초과",IF($N61&lt;=34,"긴급",IF($N61&lt;=120,"주의",IF($N61&lt;=240,"관찰","여유")))))</f>
        <v>기한초과</v>
      </c>
      <c r="P61" s="30" t="s">
        <v>68</v>
      </c>
    </row>
    <row r="62" customFormat="false" ht="82.5" hidden="false" customHeight="true" outlineLevel="0" collapsed="false">
      <c r="A62" s="21" t="s">
        <v>60</v>
      </c>
      <c r="B62" s="22" t="s">
        <v>250</v>
      </c>
      <c r="C62" s="21" t="s">
        <v>291</v>
      </c>
      <c r="D62" s="21" t="s">
        <v>292</v>
      </c>
      <c r="E62" s="23" t="s">
        <v>293</v>
      </c>
      <c r="F62" s="23" t="s">
        <v>254</v>
      </c>
      <c r="G62" s="24" t="s">
        <v>294</v>
      </c>
      <c r="H62" s="25" t="n">
        <v>26.4</v>
      </c>
      <c r="I62" s="26" t="s">
        <v>39</v>
      </c>
      <c r="J62" s="27"/>
      <c r="K62" s="26" t="s">
        <v>179</v>
      </c>
      <c r="L62" s="26" t="s">
        <v>256</v>
      </c>
      <c r="M62" s="28" t="n">
        <f aca="false">IF($H62="기한없음","",DATE(2000+VALUE(LEFT($H62,2)),VALUE(RIGHT($H62,1))*3+1,1)-1)</f>
        <v>46387</v>
      </c>
      <c r="N62" s="30" t="n">
        <f aca="false">IF($M62="","",$M62-이행현황요약!$B$3)</f>
        <v>181</v>
      </c>
      <c r="O62" s="30" t="str">
        <f aca="false">IF($H62="기한없음","기한없음",IF($N62&lt;0,"기한초과",IF($N62&lt;=34,"긴급",IF($N62&lt;=120,"주의",IF($N62&lt;=240,"관찰","여유")))))</f>
        <v>관찰</v>
      </c>
      <c r="P62" s="30" t="s">
        <v>68</v>
      </c>
    </row>
    <row r="63" customFormat="false" ht="33" hidden="false" customHeight="true" outlineLevel="0" collapsed="false">
      <c r="A63" s="21" t="s">
        <v>60</v>
      </c>
      <c r="B63" s="22" t="s">
        <v>250</v>
      </c>
      <c r="C63" s="21" t="s">
        <v>291</v>
      </c>
      <c r="D63" s="21" t="s">
        <v>295</v>
      </c>
      <c r="E63" s="21" t="s">
        <v>296</v>
      </c>
      <c r="F63" s="23" t="s">
        <v>254</v>
      </c>
      <c r="G63" s="24" t="s">
        <v>297</v>
      </c>
      <c r="H63" s="25" t="n">
        <v>26.4</v>
      </c>
      <c r="I63" s="26" t="s">
        <v>39</v>
      </c>
      <c r="J63" s="27"/>
      <c r="K63" s="26" t="s">
        <v>34</v>
      </c>
      <c r="L63" s="26" t="s">
        <v>256</v>
      </c>
      <c r="M63" s="28" t="n">
        <f aca="false">IF($H63="기한없음","",DATE(2000+VALUE(LEFT($H63,2)),VALUE(RIGHT($H63,1))*3+1,1)-1)</f>
        <v>46387</v>
      </c>
      <c r="N63" s="30" t="n">
        <f aca="false">IF($M63="","",$M63-이행현황요약!$B$3)</f>
        <v>181</v>
      </c>
      <c r="O63" s="30" t="str">
        <f aca="false">IF($H63="기한없음","기한없음",IF($N63&lt;0,"기한초과",IF($N63&lt;=34,"긴급",IF($N63&lt;=120,"주의",IF($N63&lt;=240,"관찰","여유")))))</f>
        <v>관찰</v>
      </c>
      <c r="P63" s="30" t="s">
        <v>68</v>
      </c>
    </row>
    <row r="64" customFormat="false" ht="49.5" hidden="false" customHeight="true" outlineLevel="0" collapsed="false">
      <c r="A64" s="21" t="s">
        <v>60</v>
      </c>
      <c r="B64" s="22" t="s">
        <v>250</v>
      </c>
      <c r="C64" s="21" t="s">
        <v>298</v>
      </c>
      <c r="D64" s="21" t="s">
        <v>299</v>
      </c>
      <c r="E64" s="23" t="s">
        <v>300</v>
      </c>
      <c r="F64" s="23" t="s">
        <v>254</v>
      </c>
      <c r="G64" s="24" t="s">
        <v>301</v>
      </c>
      <c r="H64" s="25" t="n">
        <v>27.4</v>
      </c>
      <c r="I64" s="26" t="s">
        <v>39</v>
      </c>
      <c r="J64" s="27"/>
      <c r="K64" s="26" t="s">
        <v>34</v>
      </c>
      <c r="L64" s="26" t="s">
        <v>256</v>
      </c>
      <c r="M64" s="28" t="n">
        <f aca="false">IF($H64="기한없음","",DATE(2000+VALUE(LEFT($H64,2)),VALUE(RIGHT($H64,1))*3+1,1)-1)</f>
        <v>46752</v>
      </c>
      <c r="N64" s="30" t="n">
        <f aca="false">IF($M64="","",$M64-이행현황요약!$B$3)</f>
        <v>546</v>
      </c>
      <c r="O64" s="30" t="str">
        <f aca="false">IF($H64="기한없음","기한없음",IF($N64&lt;0,"기한초과",IF($N64&lt;=34,"긴급",IF($N64&lt;=120,"주의",IF($N64&lt;=240,"관찰","여유")))))</f>
        <v>여유</v>
      </c>
      <c r="P64" s="30" t="s">
        <v>68</v>
      </c>
    </row>
    <row r="65" customFormat="false" ht="33" hidden="false" customHeight="true" outlineLevel="0" collapsed="false">
      <c r="A65" s="21" t="s">
        <v>60</v>
      </c>
      <c r="B65" s="22" t="s">
        <v>250</v>
      </c>
      <c r="C65" s="21" t="s">
        <v>298</v>
      </c>
      <c r="D65" s="21" t="s">
        <v>302</v>
      </c>
      <c r="E65" s="23" t="s">
        <v>303</v>
      </c>
      <c r="F65" s="23" t="s">
        <v>254</v>
      </c>
      <c r="G65" s="24" t="s">
        <v>304</v>
      </c>
      <c r="H65" s="25" t="n">
        <v>26.2</v>
      </c>
      <c r="I65" s="26" t="s">
        <v>39</v>
      </c>
      <c r="J65" s="27"/>
      <c r="K65" s="27"/>
      <c r="L65" s="26" t="s">
        <v>256</v>
      </c>
      <c r="M65" s="28" t="n">
        <f aca="false">IF($H65="기한없음","",DATE(2000+VALUE(LEFT($H65,2)),VALUE(RIGHT($H65,1))*3+1,1)-1)</f>
        <v>46203</v>
      </c>
      <c r="N65" s="30" t="n">
        <f aca="false">IF($M65="","",$M65-이행현황요약!$B$3)</f>
        <v>-3</v>
      </c>
      <c r="O65" s="30" t="str">
        <f aca="false">IF($H65="기한없음","기한없음",IF($N65&lt;0,"기한초과",IF($N65&lt;=34,"긴급",IF($N65&lt;=120,"주의",IF($N65&lt;=240,"관찰","여유")))))</f>
        <v>기한초과</v>
      </c>
      <c r="P65" s="30" t="s">
        <v>68</v>
      </c>
    </row>
    <row r="66" customFormat="false" ht="49.5" hidden="false" customHeight="true" outlineLevel="0" collapsed="false">
      <c r="A66" s="21" t="s">
        <v>60</v>
      </c>
      <c r="B66" s="22" t="s">
        <v>250</v>
      </c>
      <c r="C66" s="21" t="s">
        <v>298</v>
      </c>
      <c r="D66" s="21" t="s">
        <v>305</v>
      </c>
      <c r="E66" s="23" t="s">
        <v>306</v>
      </c>
      <c r="F66" s="23" t="s">
        <v>254</v>
      </c>
      <c r="G66" s="24" t="s">
        <v>307</v>
      </c>
      <c r="H66" s="25" t="n">
        <v>26.2</v>
      </c>
      <c r="I66" s="26" t="s">
        <v>39</v>
      </c>
      <c r="J66" s="27"/>
      <c r="K66" s="26" t="s">
        <v>308</v>
      </c>
      <c r="L66" s="26" t="s">
        <v>256</v>
      </c>
      <c r="M66" s="28" t="n">
        <f aca="false">IF($H66="기한없음","",DATE(2000+VALUE(LEFT($H66,2)),VALUE(RIGHT($H66,1))*3+1,1)-1)</f>
        <v>46203</v>
      </c>
      <c r="N66" s="30" t="n">
        <f aca="false">IF($M66="","",$M66-이행현황요약!$B$3)</f>
        <v>-3</v>
      </c>
      <c r="O66" s="30" t="str">
        <f aca="false">IF($H66="기한없음","기한없음",IF($N66&lt;0,"기한초과",IF($N66&lt;=34,"긴급",IF($N66&lt;=120,"주의",IF($N66&lt;=240,"관찰","여유")))))</f>
        <v>기한초과</v>
      </c>
      <c r="P66" s="30" t="s">
        <v>68</v>
      </c>
    </row>
    <row r="67" customFormat="false" ht="49.5" hidden="false" customHeight="true" outlineLevel="0" collapsed="false">
      <c r="A67" s="21" t="s">
        <v>60</v>
      </c>
      <c r="B67" s="22" t="s">
        <v>250</v>
      </c>
      <c r="C67" s="21" t="s">
        <v>298</v>
      </c>
      <c r="D67" s="21" t="s">
        <v>309</v>
      </c>
      <c r="E67" s="23" t="s">
        <v>310</v>
      </c>
      <c r="F67" s="23" t="s">
        <v>254</v>
      </c>
      <c r="G67" s="24" t="s">
        <v>311</v>
      </c>
      <c r="H67" s="25" t="n">
        <v>26.2</v>
      </c>
      <c r="I67" s="26" t="s">
        <v>39</v>
      </c>
      <c r="J67" s="27"/>
      <c r="K67" s="26" t="s">
        <v>308</v>
      </c>
      <c r="L67" s="26" t="s">
        <v>256</v>
      </c>
      <c r="M67" s="28" t="n">
        <f aca="false">IF($H67="기한없음","",DATE(2000+VALUE(LEFT($H67,2)),VALUE(RIGHT($H67,1))*3+1,1)-1)</f>
        <v>46203</v>
      </c>
      <c r="N67" s="30" t="n">
        <f aca="false">IF($M67="","",$M67-이행현황요약!$B$3)</f>
        <v>-3</v>
      </c>
      <c r="O67" s="30" t="str">
        <f aca="false">IF($H67="기한없음","기한없음",IF($N67&lt;0,"기한초과",IF($N67&lt;=34,"긴급",IF($N67&lt;=120,"주의",IF($N67&lt;=240,"관찰","여유")))))</f>
        <v>기한초과</v>
      </c>
      <c r="P67" s="30" t="s">
        <v>68</v>
      </c>
    </row>
    <row r="68" customFormat="false" ht="33" hidden="false" customHeight="true" outlineLevel="0" collapsed="false">
      <c r="A68" s="21" t="s">
        <v>60</v>
      </c>
      <c r="B68" s="22" t="s">
        <v>250</v>
      </c>
      <c r="C68" s="21" t="s">
        <v>298</v>
      </c>
      <c r="D68" s="21" t="s">
        <v>312</v>
      </c>
      <c r="E68" s="23" t="s">
        <v>313</v>
      </c>
      <c r="F68" s="23" t="s">
        <v>254</v>
      </c>
      <c r="G68" s="24" t="s">
        <v>314</v>
      </c>
      <c r="H68" s="25" t="n">
        <v>27.4</v>
      </c>
      <c r="I68" s="26" t="s">
        <v>39</v>
      </c>
      <c r="J68" s="27"/>
      <c r="K68" s="27"/>
      <c r="L68" s="26" t="s">
        <v>256</v>
      </c>
      <c r="M68" s="28" t="n">
        <f aca="false">IF($H68="기한없음","",DATE(2000+VALUE(LEFT($H68,2)),VALUE(RIGHT($H68,1))*3+1,1)-1)</f>
        <v>46752</v>
      </c>
      <c r="N68" s="30" t="n">
        <f aca="false">IF($M68="","",$M68-이행현황요약!$B$3)</f>
        <v>546</v>
      </c>
      <c r="O68" s="30" t="str">
        <f aca="false">IF($H68="기한없음","기한없음",IF($N68&lt;0,"기한초과",IF($N68&lt;=34,"긴급",IF($N68&lt;=120,"주의",IF($N68&lt;=240,"관찰","여유")))))</f>
        <v>여유</v>
      </c>
      <c r="P68" s="30" t="s">
        <v>68</v>
      </c>
    </row>
    <row r="69" customFormat="false" ht="49.5" hidden="false" customHeight="true" outlineLevel="0" collapsed="false">
      <c r="A69" s="21" t="s">
        <v>60</v>
      </c>
      <c r="B69" s="22" t="s">
        <v>250</v>
      </c>
      <c r="C69" s="21" t="s">
        <v>315</v>
      </c>
      <c r="D69" s="21" t="s">
        <v>316</v>
      </c>
      <c r="E69" s="21" t="s">
        <v>317</v>
      </c>
      <c r="F69" s="23" t="s">
        <v>254</v>
      </c>
      <c r="G69" s="24" t="s">
        <v>318</v>
      </c>
      <c r="H69" s="25" t="n">
        <v>26.2</v>
      </c>
      <c r="I69" s="26" t="s">
        <v>39</v>
      </c>
      <c r="J69" s="27"/>
      <c r="K69" s="26" t="s">
        <v>38</v>
      </c>
      <c r="L69" s="26" t="s">
        <v>256</v>
      </c>
      <c r="M69" s="28" t="n">
        <f aca="false">IF($H69="기한없음","",DATE(2000+VALUE(LEFT($H69,2)),VALUE(RIGHT($H69,1))*3+1,1)-1)</f>
        <v>46203</v>
      </c>
      <c r="N69" s="30" t="n">
        <f aca="false">IF($M69="","",$M69-이행현황요약!$B$3)</f>
        <v>-3</v>
      </c>
      <c r="O69" s="30" t="str">
        <f aca="false">IF($H69="기한없음","기한없음",IF($N69&lt;0,"기한초과",IF($N69&lt;=34,"긴급",IF($N69&lt;=120,"주의",IF($N69&lt;=240,"관찰","여유")))))</f>
        <v>기한초과</v>
      </c>
      <c r="P69" s="30" t="s">
        <v>68</v>
      </c>
    </row>
    <row r="70" customFormat="false" ht="49.5" hidden="false" customHeight="true" outlineLevel="0" collapsed="false">
      <c r="A70" s="21" t="s">
        <v>60</v>
      </c>
      <c r="B70" s="22" t="s">
        <v>250</v>
      </c>
      <c r="C70" s="21" t="s">
        <v>315</v>
      </c>
      <c r="D70" s="21" t="s">
        <v>319</v>
      </c>
      <c r="E70" s="23" t="s">
        <v>320</v>
      </c>
      <c r="F70" s="23" t="s">
        <v>254</v>
      </c>
      <c r="G70" s="24" t="s">
        <v>321</v>
      </c>
      <c r="H70" s="25" t="n">
        <v>26.4</v>
      </c>
      <c r="I70" s="26" t="s">
        <v>39</v>
      </c>
      <c r="J70" s="27"/>
      <c r="K70" s="27"/>
      <c r="L70" s="26" t="s">
        <v>256</v>
      </c>
      <c r="M70" s="28" t="n">
        <f aca="false">IF($H70="기한없음","",DATE(2000+VALUE(LEFT($H70,2)),VALUE(RIGHT($H70,1))*3+1,1)-1)</f>
        <v>46387</v>
      </c>
      <c r="N70" s="30" t="n">
        <f aca="false">IF($M70="","",$M70-이행현황요약!$B$3)</f>
        <v>181</v>
      </c>
      <c r="O70" s="30" t="str">
        <f aca="false">IF($H70="기한없음","기한없음",IF($N70&lt;0,"기한초과",IF($N70&lt;=34,"긴급",IF($N70&lt;=120,"주의",IF($N70&lt;=240,"관찰","여유")))))</f>
        <v>관찰</v>
      </c>
      <c r="P70" s="30" t="s">
        <v>68</v>
      </c>
    </row>
    <row r="71" customFormat="false" ht="49.5" hidden="false" customHeight="true" outlineLevel="0" collapsed="false">
      <c r="A71" s="21" t="s">
        <v>60</v>
      </c>
      <c r="B71" s="22" t="s">
        <v>250</v>
      </c>
      <c r="C71" s="21" t="s">
        <v>315</v>
      </c>
      <c r="D71" s="21" t="s">
        <v>322</v>
      </c>
      <c r="E71" s="21" t="s">
        <v>323</v>
      </c>
      <c r="F71" s="23" t="s">
        <v>254</v>
      </c>
      <c r="G71" s="24" t="s">
        <v>324</v>
      </c>
      <c r="H71" s="25" t="n">
        <v>27.4</v>
      </c>
      <c r="I71" s="26" t="s">
        <v>39</v>
      </c>
      <c r="J71" s="27"/>
      <c r="K71" s="26" t="s">
        <v>38</v>
      </c>
      <c r="L71" s="26" t="s">
        <v>256</v>
      </c>
      <c r="M71" s="28" t="n">
        <f aca="false">IF($H71="기한없음","",DATE(2000+VALUE(LEFT($H71,2)),VALUE(RIGHT($H71,1))*3+1,1)-1)</f>
        <v>46752</v>
      </c>
      <c r="N71" s="30" t="n">
        <f aca="false">IF($M71="","",$M71-이행현황요약!$B$3)</f>
        <v>546</v>
      </c>
      <c r="O71" s="30" t="str">
        <f aca="false">IF($H71="기한없음","기한없음",IF($N71&lt;0,"기한초과",IF($N71&lt;=34,"긴급",IF($N71&lt;=120,"주의",IF($N71&lt;=240,"관찰","여유")))))</f>
        <v>여유</v>
      </c>
      <c r="P71" s="30" t="s">
        <v>68</v>
      </c>
    </row>
    <row r="72" customFormat="false" ht="33" hidden="false" customHeight="true" outlineLevel="0" collapsed="false">
      <c r="A72" s="21" t="s">
        <v>60</v>
      </c>
      <c r="B72" s="22" t="s">
        <v>325</v>
      </c>
      <c r="C72" s="21" t="s">
        <v>326</v>
      </c>
      <c r="D72" s="21" t="s">
        <v>327</v>
      </c>
      <c r="E72" s="21" t="s">
        <v>328</v>
      </c>
      <c r="F72" s="23" t="s">
        <v>329</v>
      </c>
      <c r="G72" s="31" t="s">
        <v>330</v>
      </c>
      <c r="H72" s="25" t="n">
        <v>26.2</v>
      </c>
      <c r="I72" s="26" t="s">
        <v>34</v>
      </c>
      <c r="J72" s="27"/>
      <c r="K72" s="26" t="s">
        <v>331</v>
      </c>
      <c r="L72" s="27" t="s">
        <v>332</v>
      </c>
      <c r="M72" s="28" t="n">
        <f aca="false">IF($H72="기한없음","",DATE(2000+VALUE(LEFT($H72,2)),VALUE(RIGHT($H72,1))*3+1,1)-1)</f>
        <v>46203</v>
      </c>
      <c r="N72" s="30" t="n">
        <f aca="false">IF($M72="","",$M72-이행현황요약!$B$3)</f>
        <v>-3</v>
      </c>
      <c r="O72" s="30" t="str">
        <f aca="false">IF($H72="기한없음","기한없음",IF($N72&lt;0,"기한초과",IF($N72&lt;=34,"긴급",IF($N72&lt;=120,"주의",IF($N72&lt;=240,"관찰","여유")))))</f>
        <v>기한초과</v>
      </c>
      <c r="P72" s="30" t="s">
        <v>68</v>
      </c>
    </row>
    <row r="73" customFormat="false" ht="49.5" hidden="false" customHeight="true" outlineLevel="0" collapsed="false">
      <c r="A73" s="21" t="s">
        <v>60</v>
      </c>
      <c r="B73" s="22" t="s">
        <v>325</v>
      </c>
      <c r="C73" s="21" t="s">
        <v>326</v>
      </c>
      <c r="D73" s="21" t="s">
        <v>333</v>
      </c>
      <c r="E73" s="23" t="s">
        <v>334</v>
      </c>
      <c r="F73" s="23" t="s">
        <v>329</v>
      </c>
      <c r="G73" s="31" t="s">
        <v>335</v>
      </c>
      <c r="H73" s="25" t="n">
        <v>26.4</v>
      </c>
      <c r="I73" s="26" t="s">
        <v>34</v>
      </c>
      <c r="J73" s="27"/>
      <c r="K73" s="27"/>
      <c r="L73" s="27" t="s">
        <v>332</v>
      </c>
      <c r="M73" s="28" t="n">
        <f aca="false">IF($H73="기한없음","",DATE(2000+VALUE(LEFT($H73,2)),VALUE(RIGHT($H73,1))*3+1,1)-1)</f>
        <v>46387</v>
      </c>
      <c r="N73" s="30" t="n">
        <f aca="false">IF($M73="","",$M73-이행현황요약!$B$3)</f>
        <v>181</v>
      </c>
      <c r="O73" s="30" t="str">
        <f aca="false">IF($H73="기한없음","기한없음",IF($N73&lt;0,"기한초과",IF($N73&lt;=34,"긴급",IF($N73&lt;=120,"주의",IF($N73&lt;=240,"관찰","여유")))))</f>
        <v>관찰</v>
      </c>
      <c r="P73" s="30" t="s">
        <v>68</v>
      </c>
    </row>
    <row r="74" customFormat="false" ht="33" hidden="false" customHeight="true" outlineLevel="0" collapsed="false">
      <c r="A74" s="21" t="s">
        <v>60</v>
      </c>
      <c r="B74" s="22" t="s">
        <v>325</v>
      </c>
      <c r="C74" s="21" t="s">
        <v>326</v>
      </c>
      <c r="D74" s="21" t="s">
        <v>336</v>
      </c>
      <c r="E74" s="23" t="s">
        <v>337</v>
      </c>
      <c r="F74" s="23" t="s">
        <v>329</v>
      </c>
      <c r="G74" s="31" t="s">
        <v>338</v>
      </c>
      <c r="H74" s="25" t="n">
        <v>26.4</v>
      </c>
      <c r="I74" s="26" t="s">
        <v>34</v>
      </c>
      <c r="J74" s="27"/>
      <c r="K74" s="27"/>
      <c r="L74" s="27" t="s">
        <v>332</v>
      </c>
      <c r="M74" s="28" t="n">
        <f aca="false">IF($H74="기한없음","",DATE(2000+VALUE(LEFT($H74,2)),VALUE(RIGHT($H74,1))*3+1,1)-1)</f>
        <v>46387</v>
      </c>
      <c r="N74" s="30" t="n">
        <f aca="false">IF($M74="","",$M74-이행현황요약!$B$3)</f>
        <v>181</v>
      </c>
      <c r="O74" s="30" t="str">
        <f aca="false">IF($H74="기한없음","기한없음",IF($N74&lt;0,"기한초과",IF($N74&lt;=34,"긴급",IF($N74&lt;=120,"주의",IF($N74&lt;=240,"관찰","여유")))))</f>
        <v>관찰</v>
      </c>
      <c r="P74" s="30" t="s">
        <v>68</v>
      </c>
    </row>
    <row r="75" customFormat="false" ht="33" hidden="false" customHeight="true" outlineLevel="0" collapsed="false">
      <c r="A75" s="21" t="s">
        <v>60</v>
      </c>
      <c r="B75" s="22" t="s">
        <v>325</v>
      </c>
      <c r="C75" s="21" t="s">
        <v>326</v>
      </c>
      <c r="D75" s="21" t="s">
        <v>339</v>
      </c>
      <c r="E75" s="21" t="s">
        <v>340</v>
      </c>
      <c r="F75" s="23" t="s">
        <v>329</v>
      </c>
      <c r="G75" s="31" t="s">
        <v>341</v>
      </c>
      <c r="H75" s="25" t="n">
        <v>27.4</v>
      </c>
      <c r="I75" s="26" t="s">
        <v>34</v>
      </c>
      <c r="J75" s="27"/>
      <c r="K75" s="27"/>
      <c r="L75" s="27" t="s">
        <v>332</v>
      </c>
      <c r="M75" s="28" t="n">
        <f aca="false">IF($H75="기한없음","",DATE(2000+VALUE(LEFT($H75,2)),VALUE(RIGHT($H75,1))*3+1,1)-1)</f>
        <v>46752</v>
      </c>
      <c r="N75" s="30" t="n">
        <f aca="false">IF($M75="","",$M75-이행현황요약!$B$3)</f>
        <v>546</v>
      </c>
      <c r="O75" s="30" t="str">
        <f aca="false">IF($H75="기한없음","기한없음",IF($N75&lt;0,"기한초과",IF($N75&lt;=34,"긴급",IF($N75&lt;=120,"주의",IF($N75&lt;=240,"관찰","여유")))))</f>
        <v>여유</v>
      </c>
      <c r="P75" s="30" t="s">
        <v>68</v>
      </c>
    </row>
    <row r="76" customFormat="false" ht="33" hidden="false" customHeight="true" outlineLevel="0" collapsed="false">
      <c r="A76" s="21" t="s">
        <v>60</v>
      </c>
      <c r="B76" s="22" t="s">
        <v>325</v>
      </c>
      <c r="C76" s="21" t="s">
        <v>342</v>
      </c>
      <c r="D76" s="21" t="s">
        <v>343</v>
      </c>
      <c r="E76" s="21" t="s">
        <v>344</v>
      </c>
      <c r="F76" s="23" t="s">
        <v>329</v>
      </c>
      <c r="G76" s="24" t="s">
        <v>345</v>
      </c>
      <c r="H76" s="25" t="n">
        <v>26.2</v>
      </c>
      <c r="I76" s="26" t="s">
        <v>346</v>
      </c>
      <c r="J76" s="27" t="s">
        <v>94</v>
      </c>
      <c r="K76" s="26" t="s">
        <v>347</v>
      </c>
      <c r="L76" s="27" t="s">
        <v>332</v>
      </c>
      <c r="M76" s="28" t="n">
        <f aca="false">IF($H76="기한없음","",DATE(2000+VALUE(LEFT($H76,2)),VALUE(RIGHT($H76,1))*3+1,1)-1)</f>
        <v>46203</v>
      </c>
      <c r="N76" s="30" t="n">
        <f aca="false">IF($M76="","",$M76-이행현황요약!$B$3)</f>
        <v>-3</v>
      </c>
      <c r="O76" s="30" t="str">
        <f aca="false">IF($H76="기한없음","기한없음",IF($N76&lt;0,"기한초과",IF($N76&lt;=34,"긴급",IF($N76&lt;=120,"주의",IF($N76&lt;=240,"관찰","여유")))))</f>
        <v>기한초과</v>
      </c>
      <c r="P76" s="30" t="s">
        <v>68</v>
      </c>
    </row>
    <row r="77" customFormat="false" ht="66" hidden="false" customHeight="true" outlineLevel="0" collapsed="false">
      <c r="A77" s="21" t="s">
        <v>60</v>
      </c>
      <c r="B77" s="22" t="s">
        <v>325</v>
      </c>
      <c r="C77" s="21" t="s">
        <v>342</v>
      </c>
      <c r="D77" s="21" t="s">
        <v>348</v>
      </c>
      <c r="E77" s="21" t="s">
        <v>349</v>
      </c>
      <c r="F77" s="23" t="s">
        <v>329</v>
      </c>
      <c r="G77" s="24" t="s">
        <v>350</v>
      </c>
      <c r="H77" s="25" t="n">
        <v>26.2</v>
      </c>
      <c r="I77" s="26" t="s">
        <v>34</v>
      </c>
      <c r="J77" s="27"/>
      <c r="K77" s="27"/>
      <c r="L77" s="27" t="s">
        <v>332</v>
      </c>
      <c r="M77" s="28" t="n">
        <f aca="false">IF($H77="기한없음","",DATE(2000+VALUE(LEFT($H77,2)),VALUE(RIGHT($H77,1))*3+1,1)-1)</f>
        <v>46203</v>
      </c>
      <c r="N77" s="30" t="n">
        <f aca="false">IF($M77="","",$M77-이행현황요약!$B$3)</f>
        <v>-3</v>
      </c>
      <c r="O77" s="30" t="str">
        <f aca="false">IF($H77="기한없음","기한없음",IF($N77&lt;0,"기한초과",IF($N77&lt;=34,"긴급",IF($N77&lt;=120,"주의",IF($N77&lt;=240,"관찰","여유")))))</f>
        <v>기한초과</v>
      </c>
      <c r="P77" s="30" t="s">
        <v>68</v>
      </c>
    </row>
    <row r="78" customFormat="false" ht="33" hidden="false" customHeight="true" outlineLevel="0" collapsed="false">
      <c r="A78" s="21" t="s">
        <v>60</v>
      </c>
      <c r="B78" s="22" t="s">
        <v>325</v>
      </c>
      <c r="C78" s="21" t="s">
        <v>351</v>
      </c>
      <c r="D78" s="21" t="s">
        <v>352</v>
      </c>
      <c r="E78" s="21" t="s">
        <v>353</v>
      </c>
      <c r="F78" s="23" t="s">
        <v>329</v>
      </c>
      <c r="G78" s="31" t="s">
        <v>354</v>
      </c>
      <c r="H78" s="32" t="s">
        <v>17</v>
      </c>
      <c r="I78" s="26" t="s">
        <v>34</v>
      </c>
      <c r="J78" s="27"/>
      <c r="K78" s="27"/>
      <c r="L78" s="27" t="s">
        <v>332</v>
      </c>
      <c r="M78" s="28" t="str">
        <f aca="false">IF($H78="기한없음","",DATE(2000+VALUE(LEFT($H78,2)),VALUE(RIGHT($H78,1))*3+1,1)-1)</f>
        <v/>
      </c>
      <c r="N78" s="30" t="str">
        <f aca="false">IF($M78="","",$M78-이행현황요약!$B$3)</f>
        <v/>
      </c>
      <c r="O78" s="30" t="str">
        <f aca="false">IF($H78="기한없음","기한없음",IF($N78&lt;0,"기한초과",IF($N78&lt;=34,"긴급",IF($N78&lt;=120,"주의",IF($N78&lt;=240,"관찰","여유")))))</f>
        <v>기한없음</v>
      </c>
      <c r="P78" s="30" t="s">
        <v>68</v>
      </c>
    </row>
    <row r="79" customFormat="false" ht="33" hidden="false" customHeight="true" outlineLevel="0" collapsed="false">
      <c r="A79" s="21" t="s">
        <v>60</v>
      </c>
      <c r="B79" s="22" t="s">
        <v>325</v>
      </c>
      <c r="C79" s="21" t="s">
        <v>351</v>
      </c>
      <c r="D79" s="21" t="s">
        <v>355</v>
      </c>
      <c r="E79" s="21" t="s">
        <v>356</v>
      </c>
      <c r="F79" s="23" t="s">
        <v>329</v>
      </c>
      <c r="G79" s="31" t="s">
        <v>357</v>
      </c>
      <c r="H79" s="25" t="n">
        <v>26.2</v>
      </c>
      <c r="I79" s="26" t="s">
        <v>34</v>
      </c>
      <c r="J79" s="27"/>
      <c r="K79" s="26" t="s">
        <v>156</v>
      </c>
      <c r="L79" s="27" t="s">
        <v>332</v>
      </c>
      <c r="M79" s="28" t="n">
        <f aca="false">IF($H79="기한없음","",DATE(2000+VALUE(LEFT($H79,2)),VALUE(RIGHT($H79,1))*3+1,1)-1)</f>
        <v>46203</v>
      </c>
      <c r="N79" s="30" t="n">
        <f aca="false">IF($M79="","",$M79-이행현황요약!$B$3)</f>
        <v>-3</v>
      </c>
      <c r="O79" s="30" t="str">
        <f aca="false">IF($H79="기한없음","기한없음",IF($N79&lt;0,"기한초과",IF($N79&lt;=34,"긴급",IF($N79&lt;=120,"주의",IF($N79&lt;=240,"관찰","여유")))))</f>
        <v>기한초과</v>
      </c>
      <c r="P79" s="30" t="s">
        <v>68</v>
      </c>
    </row>
    <row r="80" customFormat="false" ht="33" hidden="false" customHeight="true" outlineLevel="0" collapsed="false">
      <c r="A80" s="21" t="s">
        <v>60</v>
      </c>
      <c r="B80" s="22" t="s">
        <v>325</v>
      </c>
      <c r="C80" s="21" t="s">
        <v>351</v>
      </c>
      <c r="D80" s="21" t="s">
        <v>358</v>
      </c>
      <c r="E80" s="21" t="s">
        <v>359</v>
      </c>
      <c r="F80" s="23" t="s">
        <v>329</v>
      </c>
      <c r="G80" s="31" t="s">
        <v>360</v>
      </c>
      <c r="H80" s="25" t="n">
        <v>26.4</v>
      </c>
      <c r="I80" s="26" t="s">
        <v>34</v>
      </c>
      <c r="J80" s="27"/>
      <c r="K80" s="27"/>
      <c r="L80" s="27" t="s">
        <v>332</v>
      </c>
      <c r="M80" s="28" t="n">
        <f aca="false">IF($H80="기한없음","",DATE(2000+VALUE(LEFT($H80,2)),VALUE(RIGHT($H80,1))*3+1,1)-1)</f>
        <v>46387</v>
      </c>
      <c r="N80" s="30" t="n">
        <f aca="false">IF($M80="","",$M80-이행현황요약!$B$3)</f>
        <v>181</v>
      </c>
      <c r="O80" s="30" t="str">
        <f aca="false">IF($H80="기한없음","기한없음",IF($N80&lt;0,"기한초과",IF($N80&lt;=34,"긴급",IF($N80&lt;=120,"주의",IF($N80&lt;=240,"관찰","여유")))))</f>
        <v>관찰</v>
      </c>
      <c r="P80" s="30" t="s">
        <v>68</v>
      </c>
    </row>
    <row r="81" customFormat="false" ht="33" hidden="false" customHeight="true" outlineLevel="0" collapsed="false">
      <c r="A81" s="21" t="s">
        <v>60</v>
      </c>
      <c r="B81" s="22" t="s">
        <v>325</v>
      </c>
      <c r="C81" s="21" t="s">
        <v>351</v>
      </c>
      <c r="D81" s="21" t="s">
        <v>361</v>
      </c>
      <c r="E81" s="21" t="s">
        <v>362</v>
      </c>
      <c r="F81" s="23" t="s">
        <v>329</v>
      </c>
      <c r="G81" s="31" t="s">
        <v>363</v>
      </c>
      <c r="H81" s="25" t="n">
        <v>26.4</v>
      </c>
      <c r="I81" s="26" t="s">
        <v>34</v>
      </c>
      <c r="J81" s="27"/>
      <c r="K81" s="26" t="s">
        <v>156</v>
      </c>
      <c r="L81" s="27" t="s">
        <v>332</v>
      </c>
      <c r="M81" s="28" t="n">
        <f aca="false">IF($H81="기한없음","",DATE(2000+VALUE(LEFT($H81,2)),VALUE(RIGHT($H81,1))*3+1,1)-1)</f>
        <v>46387</v>
      </c>
      <c r="N81" s="30" t="n">
        <f aca="false">IF($M81="","",$M81-이행현황요약!$B$3)</f>
        <v>181</v>
      </c>
      <c r="O81" s="30" t="str">
        <f aca="false">IF($H81="기한없음","기한없음",IF($N81&lt;0,"기한초과",IF($N81&lt;=34,"긴급",IF($N81&lt;=120,"주의",IF($N81&lt;=240,"관찰","여유")))))</f>
        <v>관찰</v>
      </c>
      <c r="P81" s="30" t="s">
        <v>68</v>
      </c>
    </row>
    <row r="82" customFormat="false" ht="33" hidden="false" customHeight="true" outlineLevel="0" collapsed="false">
      <c r="A82" s="21" t="s">
        <v>60</v>
      </c>
      <c r="B82" s="22" t="s">
        <v>325</v>
      </c>
      <c r="C82" s="21" t="s">
        <v>364</v>
      </c>
      <c r="D82" s="21" t="s">
        <v>365</v>
      </c>
      <c r="E82" s="21" t="s">
        <v>366</v>
      </c>
      <c r="F82" s="23" t="s">
        <v>329</v>
      </c>
      <c r="G82" s="24" t="s">
        <v>367</v>
      </c>
      <c r="H82" s="25" t="n">
        <v>26.3</v>
      </c>
      <c r="I82" s="26" t="s">
        <v>34</v>
      </c>
      <c r="J82" s="27"/>
      <c r="K82" s="26" t="s">
        <v>156</v>
      </c>
      <c r="L82" s="27" t="s">
        <v>332</v>
      </c>
      <c r="M82" s="28" t="n">
        <f aca="false">IF($H82="기한없음","",DATE(2000+VALUE(LEFT($H82,2)),VALUE(RIGHT($H82,1))*3+1,1)-1)</f>
        <v>46295</v>
      </c>
      <c r="N82" s="30" t="n">
        <f aca="false">IF($M82="","",$M82-이행현황요약!$B$3)</f>
        <v>89</v>
      </c>
      <c r="O82" s="30" t="str">
        <f aca="false">IF($H82="기한없음","기한없음",IF($N82&lt;0,"기한초과",IF($N82&lt;=34,"긴급",IF($N82&lt;=120,"주의",IF($N82&lt;=240,"관찰","여유")))))</f>
        <v>주의</v>
      </c>
      <c r="P82" s="30" t="s">
        <v>68</v>
      </c>
    </row>
    <row r="83" customFormat="false" ht="49.5" hidden="false" customHeight="true" outlineLevel="0" collapsed="false">
      <c r="A83" s="21" t="s">
        <v>60</v>
      </c>
      <c r="B83" s="22" t="s">
        <v>325</v>
      </c>
      <c r="C83" s="21" t="s">
        <v>364</v>
      </c>
      <c r="D83" s="21" t="s">
        <v>368</v>
      </c>
      <c r="E83" s="21" t="s">
        <v>369</v>
      </c>
      <c r="F83" s="23" t="s">
        <v>329</v>
      </c>
      <c r="G83" s="24" t="s">
        <v>370</v>
      </c>
      <c r="H83" s="25" t="n">
        <v>26.4</v>
      </c>
      <c r="I83" s="26" t="s">
        <v>34</v>
      </c>
      <c r="J83" s="27"/>
      <c r="K83" s="26" t="s">
        <v>156</v>
      </c>
      <c r="L83" s="27" t="s">
        <v>332</v>
      </c>
      <c r="M83" s="28" t="n">
        <f aca="false">IF($H83="기한없음","",DATE(2000+VALUE(LEFT($H83,2)),VALUE(RIGHT($H83,1))*3+1,1)-1)</f>
        <v>46387</v>
      </c>
      <c r="N83" s="30" t="n">
        <f aca="false">IF($M83="","",$M83-이행현황요약!$B$3)</f>
        <v>181</v>
      </c>
      <c r="O83" s="30" t="str">
        <f aca="false">IF($H83="기한없음","기한없음",IF($N83&lt;0,"기한초과",IF($N83&lt;=34,"긴급",IF($N83&lt;=120,"주의",IF($N83&lt;=240,"관찰","여유")))))</f>
        <v>관찰</v>
      </c>
      <c r="P83" s="30" t="s">
        <v>68</v>
      </c>
    </row>
    <row r="84" customFormat="false" ht="33" hidden="false" customHeight="true" outlineLevel="0" collapsed="false">
      <c r="A84" s="21" t="s">
        <v>60</v>
      </c>
      <c r="B84" s="22" t="s">
        <v>325</v>
      </c>
      <c r="C84" s="21" t="s">
        <v>364</v>
      </c>
      <c r="D84" s="21" t="s">
        <v>371</v>
      </c>
      <c r="E84" s="21" t="s">
        <v>372</v>
      </c>
      <c r="F84" s="23" t="s">
        <v>329</v>
      </c>
      <c r="G84" s="31" t="s">
        <v>373</v>
      </c>
      <c r="H84" s="25" t="n">
        <v>26.1</v>
      </c>
      <c r="I84" s="26" t="s">
        <v>34</v>
      </c>
      <c r="J84" s="27"/>
      <c r="K84" s="27"/>
      <c r="L84" s="27" t="s">
        <v>332</v>
      </c>
      <c r="M84" s="28" t="n">
        <f aca="false">IF($H84="기한없음","",DATE(2000+VALUE(LEFT($H84,2)),VALUE(RIGHT($H84,1))*3+1,1)-1)</f>
        <v>46112</v>
      </c>
      <c r="N84" s="30" t="n">
        <f aca="false">IF($M84="","",$M84-이행현황요약!$B$3)</f>
        <v>-94</v>
      </c>
      <c r="O84" s="30" t="str">
        <f aca="false">IF($H84="기한없음","기한없음",IF($N84&lt;0,"기한초과",IF($N84&lt;=34,"긴급",IF($N84&lt;=120,"주의",IF($N84&lt;=240,"관찰","여유")))))</f>
        <v>기한초과</v>
      </c>
      <c r="P84" s="30" t="s">
        <v>68</v>
      </c>
    </row>
    <row r="85" customFormat="false" ht="33" hidden="false" customHeight="true" outlineLevel="0" collapsed="false">
      <c r="A85" s="21" t="s">
        <v>60</v>
      </c>
      <c r="B85" s="22" t="s">
        <v>325</v>
      </c>
      <c r="C85" s="21" t="s">
        <v>374</v>
      </c>
      <c r="D85" s="21" t="s">
        <v>375</v>
      </c>
      <c r="E85" s="23" t="s">
        <v>376</v>
      </c>
      <c r="F85" s="23" t="s">
        <v>329</v>
      </c>
      <c r="G85" s="24" t="s">
        <v>377</v>
      </c>
      <c r="H85" s="32" t="s">
        <v>17</v>
      </c>
      <c r="I85" s="26" t="s">
        <v>346</v>
      </c>
      <c r="J85" s="27" t="s">
        <v>94</v>
      </c>
      <c r="K85" s="27"/>
      <c r="L85" s="27" t="s">
        <v>332</v>
      </c>
      <c r="M85" s="28" t="str">
        <f aca="false">IF($H85="기한없음","",DATE(2000+VALUE(LEFT($H85,2)),VALUE(RIGHT($H85,1))*3+1,1)-1)</f>
        <v/>
      </c>
      <c r="N85" s="30" t="str">
        <f aca="false">IF($M85="","",$M85-이행현황요약!$B$3)</f>
        <v/>
      </c>
      <c r="O85" s="30" t="str">
        <f aca="false">IF($H85="기한없음","기한없음",IF($N85&lt;0,"기한초과",IF($N85&lt;=34,"긴급",IF($N85&lt;=120,"주의",IF($N85&lt;=240,"관찰","여유")))))</f>
        <v>기한없음</v>
      </c>
      <c r="P85" s="30" t="s">
        <v>68</v>
      </c>
    </row>
    <row r="86" customFormat="false" ht="49.5" hidden="false" customHeight="true" outlineLevel="0" collapsed="false">
      <c r="A86" s="21" t="s">
        <v>60</v>
      </c>
      <c r="B86" s="22" t="s">
        <v>325</v>
      </c>
      <c r="C86" s="21" t="s">
        <v>374</v>
      </c>
      <c r="D86" s="21" t="s">
        <v>378</v>
      </c>
      <c r="E86" s="23" t="s">
        <v>379</v>
      </c>
      <c r="F86" s="23" t="s">
        <v>329</v>
      </c>
      <c r="G86" s="24" t="s">
        <v>380</v>
      </c>
      <c r="H86" s="25" t="n">
        <v>26.3</v>
      </c>
      <c r="I86" s="26" t="s">
        <v>346</v>
      </c>
      <c r="J86" s="27" t="s">
        <v>94</v>
      </c>
      <c r="K86" s="27"/>
      <c r="L86" s="27" t="s">
        <v>332</v>
      </c>
      <c r="M86" s="28" t="n">
        <f aca="false">IF($H86="기한없음","",DATE(2000+VALUE(LEFT($H86,2)),VALUE(RIGHT($H86,1))*3+1,1)-1)</f>
        <v>46295</v>
      </c>
      <c r="N86" s="30" t="n">
        <f aca="false">IF($M86="","",$M86-이행현황요약!$B$3)</f>
        <v>89</v>
      </c>
      <c r="O86" s="30" t="str">
        <f aca="false">IF($H86="기한없음","기한없음",IF($N86&lt;0,"기한초과",IF($N86&lt;=34,"긴급",IF($N86&lt;=120,"주의",IF($N86&lt;=240,"관찰","여유")))))</f>
        <v>주의</v>
      </c>
      <c r="P86" s="30" t="s">
        <v>68</v>
      </c>
    </row>
    <row r="87" customFormat="false" ht="33" hidden="false" customHeight="true" outlineLevel="0" collapsed="false">
      <c r="A87" s="21" t="s">
        <v>60</v>
      </c>
      <c r="B87" s="22" t="s">
        <v>325</v>
      </c>
      <c r="C87" s="21" t="s">
        <v>374</v>
      </c>
      <c r="D87" s="21" t="s">
        <v>381</v>
      </c>
      <c r="E87" s="23" t="s">
        <v>382</v>
      </c>
      <c r="F87" s="23" t="s">
        <v>329</v>
      </c>
      <c r="G87" s="31" t="s">
        <v>383</v>
      </c>
      <c r="H87" s="25" t="n">
        <v>26.4</v>
      </c>
      <c r="I87" s="26" t="s">
        <v>34</v>
      </c>
      <c r="J87" s="27"/>
      <c r="K87" s="27"/>
      <c r="L87" s="27" t="s">
        <v>332</v>
      </c>
      <c r="M87" s="28" t="n">
        <f aca="false">IF($H87="기한없음","",DATE(2000+VALUE(LEFT($H87,2)),VALUE(RIGHT($H87,1))*3+1,1)-1)</f>
        <v>46387</v>
      </c>
      <c r="N87" s="30" t="n">
        <f aca="false">IF($M87="","",$M87-이행현황요약!$B$3)</f>
        <v>181</v>
      </c>
      <c r="O87" s="30" t="str">
        <f aca="false">IF($H87="기한없음","기한없음",IF($N87&lt;0,"기한초과",IF($N87&lt;=34,"긴급",IF($N87&lt;=120,"주의",IF($N87&lt;=240,"관찰","여유")))))</f>
        <v>관찰</v>
      </c>
      <c r="P87" s="30" t="s">
        <v>68</v>
      </c>
    </row>
    <row r="88" customFormat="false" ht="33" hidden="false" customHeight="true" outlineLevel="0" collapsed="false">
      <c r="A88" s="21" t="s">
        <v>60</v>
      </c>
      <c r="B88" s="22" t="s">
        <v>325</v>
      </c>
      <c r="C88" s="21" t="s">
        <v>384</v>
      </c>
      <c r="D88" s="21" t="s">
        <v>385</v>
      </c>
      <c r="E88" s="21" t="s">
        <v>386</v>
      </c>
      <c r="F88" s="23" t="s">
        <v>329</v>
      </c>
      <c r="G88" s="24" t="s">
        <v>387</v>
      </c>
      <c r="H88" s="25" t="n">
        <v>27.1</v>
      </c>
      <c r="I88" s="26" t="s">
        <v>388</v>
      </c>
      <c r="J88" s="27" t="s">
        <v>94</v>
      </c>
      <c r="K88" s="27"/>
      <c r="L88" s="27" t="s">
        <v>332</v>
      </c>
      <c r="M88" s="28" t="n">
        <f aca="false">IF($H88="기한없음","",DATE(2000+VALUE(LEFT($H88,2)),VALUE(RIGHT($H88,1))*3+1,1)-1)</f>
        <v>46477</v>
      </c>
      <c r="N88" s="30" t="n">
        <f aca="false">IF($M88="","",$M88-이행현황요약!$B$3)</f>
        <v>271</v>
      </c>
      <c r="O88" s="30" t="str">
        <f aca="false">IF($H88="기한없음","기한없음",IF($N88&lt;0,"기한초과",IF($N88&lt;=34,"긴급",IF($N88&lt;=120,"주의",IF($N88&lt;=240,"관찰","여유")))))</f>
        <v>여유</v>
      </c>
      <c r="P88" s="30" t="s">
        <v>68</v>
      </c>
    </row>
    <row r="89" customFormat="false" ht="33" hidden="false" customHeight="true" outlineLevel="0" collapsed="false">
      <c r="A89" s="21" t="s">
        <v>60</v>
      </c>
      <c r="B89" s="22" t="s">
        <v>325</v>
      </c>
      <c r="C89" s="21" t="s">
        <v>384</v>
      </c>
      <c r="D89" s="21" t="s">
        <v>389</v>
      </c>
      <c r="E89" s="23" t="s">
        <v>390</v>
      </c>
      <c r="F89" s="23" t="s">
        <v>329</v>
      </c>
      <c r="G89" s="24" t="s">
        <v>391</v>
      </c>
      <c r="H89" s="25" t="n">
        <v>27.1</v>
      </c>
      <c r="I89" s="26" t="s">
        <v>388</v>
      </c>
      <c r="J89" s="27" t="s">
        <v>94</v>
      </c>
      <c r="K89" s="27"/>
      <c r="L89" s="27" t="s">
        <v>332</v>
      </c>
      <c r="M89" s="28" t="n">
        <f aca="false">IF($H89="기한없음","",DATE(2000+VALUE(LEFT($H89,2)),VALUE(RIGHT($H89,1))*3+1,1)-1)</f>
        <v>46477</v>
      </c>
      <c r="N89" s="30" t="n">
        <f aca="false">IF($M89="","",$M89-이행현황요약!$B$3)</f>
        <v>271</v>
      </c>
      <c r="O89" s="30" t="str">
        <f aca="false">IF($H89="기한없음","기한없음",IF($N89&lt;0,"기한초과",IF($N89&lt;=34,"긴급",IF($N89&lt;=120,"주의",IF($N89&lt;=240,"관찰","여유")))))</f>
        <v>여유</v>
      </c>
      <c r="P89" s="30" t="s">
        <v>68</v>
      </c>
    </row>
    <row r="90" customFormat="false" ht="33" hidden="false" customHeight="true" outlineLevel="0" collapsed="false">
      <c r="A90" s="21" t="s">
        <v>60</v>
      </c>
      <c r="B90" s="22" t="s">
        <v>325</v>
      </c>
      <c r="C90" s="21" t="s">
        <v>392</v>
      </c>
      <c r="D90" s="21" t="s">
        <v>393</v>
      </c>
      <c r="E90" s="21" t="s">
        <v>394</v>
      </c>
      <c r="F90" s="23" t="s">
        <v>329</v>
      </c>
      <c r="G90" s="31" t="s">
        <v>395</v>
      </c>
      <c r="H90" s="25" t="n">
        <v>26.4</v>
      </c>
      <c r="I90" s="26" t="s">
        <v>194</v>
      </c>
      <c r="J90" s="27"/>
      <c r="K90" s="26" t="s">
        <v>396</v>
      </c>
      <c r="L90" s="27" t="s">
        <v>332</v>
      </c>
      <c r="M90" s="28" t="n">
        <f aca="false">IF($H90="기한없음","",DATE(2000+VALUE(LEFT($H90,2)),VALUE(RIGHT($H90,1))*3+1,1)-1)</f>
        <v>46387</v>
      </c>
      <c r="N90" s="30" t="n">
        <f aca="false">IF($M90="","",$M90-이행현황요약!$B$3)</f>
        <v>181</v>
      </c>
      <c r="O90" s="30" t="str">
        <f aca="false">IF($H90="기한없음","기한없음",IF($N90&lt;0,"기한초과",IF($N90&lt;=34,"긴급",IF($N90&lt;=120,"주의",IF($N90&lt;=240,"관찰","여유")))))</f>
        <v>관찰</v>
      </c>
      <c r="P90" s="30" t="s">
        <v>68</v>
      </c>
    </row>
    <row r="91" customFormat="false" ht="33" hidden="false" customHeight="true" outlineLevel="0" collapsed="false">
      <c r="A91" s="21" t="s">
        <v>60</v>
      </c>
      <c r="B91" s="22" t="s">
        <v>325</v>
      </c>
      <c r="C91" s="21" t="s">
        <v>392</v>
      </c>
      <c r="D91" s="21" t="s">
        <v>397</v>
      </c>
      <c r="E91" s="21" t="s">
        <v>398</v>
      </c>
      <c r="F91" s="23" t="s">
        <v>329</v>
      </c>
      <c r="G91" s="31" t="s">
        <v>399</v>
      </c>
      <c r="H91" s="25" t="n">
        <v>27.4</v>
      </c>
      <c r="I91" s="26" t="s">
        <v>194</v>
      </c>
      <c r="J91" s="27"/>
      <c r="K91" s="26" t="s">
        <v>396</v>
      </c>
      <c r="L91" s="27" t="s">
        <v>332</v>
      </c>
      <c r="M91" s="28" t="n">
        <f aca="false">IF($H91="기한없음","",DATE(2000+VALUE(LEFT($H91,2)),VALUE(RIGHT($H91,1))*3+1,1)-1)</f>
        <v>46752</v>
      </c>
      <c r="N91" s="30" t="n">
        <f aca="false">IF($M91="","",$M91-이행현황요약!$B$3)</f>
        <v>546</v>
      </c>
      <c r="O91" s="30" t="str">
        <f aca="false">IF($H91="기한없음","기한없음",IF($N91&lt;0,"기한초과",IF($N91&lt;=34,"긴급",IF($N91&lt;=120,"주의",IF($N91&lt;=240,"관찰","여유")))))</f>
        <v>여유</v>
      </c>
      <c r="P91" s="30" t="s">
        <v>68</v>
      </c>
    </row>
    <row r="92" customFormat="false" ht="49.5" hidden="false" customHeight="true" outlineLevel="0" collapsed="false">
      <c r="A92" s="21" t="s">
        <v>60</v>
      </c>
      <c r="B92" s="22" t="s">
        <v>325</v>
      </c>
      <c r="C92" s="21" t="s">
        <v>392</v>
      </c>
      <c r="D92" s="21" t="s">
        <v>400</v>
      </c>
      <c r="E92" s="23" t="s">
        <v>401</v>
      </c>
      <c r="F92" s="23" t="s">
        <v>329</v>
      </c>
      <c r="G92" s="31" t="s">
        <v>402</v>
      </c>
      <c r="H92" s="25" t="n">
        <v>26.4</v>
      </c>
      <c r="I92" s="26" t="s">
        <v>403</v>
      </c>
      <c r="J92" s="27"/>
      <c r="K92" s="27"/>
      <c r="L92" s="27" t="s">
        <v>332</v>
      </c>
      <c r="M92" s="28" t="n">
        <f aca="false">IF($H92="기한없음","",DATE(2000+VALUE(LEFT($H92,2)),VALUE(RIGHT($H92,1))*3+1,1)-1)</f>
        <v>46387</v>
      </c>
      <c r="N92" s="30" t="n">
        <f aca="false">IF($M92="","",$M92-이행현황요약!$B$3)</f>
        <v>181</v>
      </c>
      <c r="O92" s="30" t="str">
        <f aca="false">IF($H92="기한없음","기한없음",IF($N92&lt;0,"기한초과",IF($N92&lt;=34,"긴급",IF($N92&lt;=120,"주의",IF($N92&lt;=240,"관찰","여유")))))</f>
        <v>관찰</v>
      </c>
      <c r="P92" s="30" t="s">
        <v>68</v>
      </c>
    </row>
    <row r="93" customFormat="false" ht="66" hidden="false" customHeight="true" outlineLevel="0" collapsed="false">
      <c r="A93" s="21" t="s">
        <v>60</v>
      </c>
      <c r="B93" s="22" t="s">
        <v>325</v>
      </c>
      <c r="C93" s="21" t="s">
        <v>404</v>
      </c>
      <c r="D93" s="21" t="s">
        <v>405</v>
      </c>
      <c r="E93" s="21" t="s">
        <v>406</v>
      </c>
      <c r="F93" s="23" t="s">
        <v>329</v>
      </c>
      <c r="G93" s="31" t="s">
        <v>407</v>
      </c>
      <c r="H93" s="25" t="n">
        <v>26.2</v>
      </c>
      <c r="I93" s="26" t="s">
        <v>408</v>
      </c>
      <c r="J93" s="27"/>
      <c r="K93" s="26" t="s">
        <v>409</v>
      </c>
      <c r="L93" s="27" t="s">
        <v>332</v>
      </c>
      <c r="M93" s="28" t="n">
        <f aca="false">IF($H93="기한없음","",DATE(2000+VALUE(LEFT($H93,2)),VALUE(RIGHT($H93,1))*3+1,1)-1)</f>
        <v>46203</v>
      </c>
      <c r="N93" s="30" t="n">
        <f aca="false">IF($M93="","",$M93-이행현황요약!$B$3)</f>
        <v>-3</v>
      </c>
      <c r="O93" s="30" t="str">
        <f aca="false">IF($H93="기한없음","기한없음",IF($N93&lt;0,"기한초과",IF($N93&lt;=34,"긴급",IF($N93&lt;=120,"주의",IF($N93&lt;=240,"관찰","여유")))))</f>
        <v>기한초과</v>
      </c>
      <c r="P93" s="30" t="s">
        <v>68</v>
      </c>
    </row>
    <row r="94" customFormat="false" ht="66" hidden="false" customHeight="true" outlineLevel="0" collapsed="false">
      <c r="A94" s="21" t="s">
        <v>60</v>
      </c>
      <c r="B94" s="22" t="s">
        <v>325</v>
      </c>
      <c r="C94" s="21" t="s">
        <v>404</v>
      </c>
      <c r="D94" s="21" t="s">
        <v>410</v>
      </c>
      <c r="E94" s="23" t="s">
        <v>411</v>
      </c>
      <c r="F94" s="23" t="s">
        <v>329</v>
      </c>
      <c r="G94" s="24" t="s">
        <v>412</v>
      </c>
      <c r="H94" s="25" t="n">
        <v>26.4</v>
      </c>
      <c r="I94" s="26" t="s">
        <v>408</v>
      </c>
      <c r="J94" s="27"/>
      <c r="K94" s="27"/>
      <c r="L94" s="27" t="s">
        <v>332</v>
      </c>
      <c r="M94" s="28" t="n">
        <f aca="false">IF($H94="기한없음","",DATE(2000+VALUE(LEFT($H94,2)),VALUE(RIGHT($H94,1))*3+1,1)-1)</f>
        <v>46387</v>
      </c>
      <c r="N94" s="30" t="n">
        <f aca="false">IF($M94="","",$M94-이행현황요약!$B$3)</f>
        <v>181</v>
      </c>
      <c r="O94" s="30" t="str">
        <f aca="false">IF($H94="기한없음","기한없음",IF($N94&lt;0,"기한초과",IF($N94&lt;=34,"긴급",IF($N94&lt;=120,"주의",IF($N94&lt;=240,"관찰","여유")))))</f>
        <v>관찰</v>
      </c>
      <c r="P94" s="30" t="s">
        <v>68</v>
      </c>
    </row>
    <row r="95" customFormat="false" ht="49.5" hidden="false" customHeight="true" outlineLevel="0" collapsed="false">
      <c r="A95" s="21" t="s">
        <v>60</v>
      </c>
      <c r="B95" s="22" t="s">
        <v>325</v>
      </c>
      <c r="C95" s="21" t="s">
        <v>404</v>
      </c>
      <c r="D95" s="21" t="s">
        <v>413</v>
      </c>
      <c r="E95" s="23" t="s">
        <v>414</v>
      </c>
      <c r="F95" s="23" t="s">
        <v>329</v>
      </c>
      <c r="G95" s="31" t="s">
        <v>415</v>
      </c>
      <c r="H95" s="25" t="n">
        <v>26.4</v>
      </c>
      <c r="I95" s="26" t="s">
        <v>408</v>
      </c>
      <c r="J95" s="27"/>
      <c r="K95" s="27"/>
      <c r="L95" s="27" t="s">
        <v>332</v>
      </c>
      <c r="M95" s="28" t="n">
        <f aca="false">IF($H95="기한없음","",DATE(2000+VALUE(LEFT($H95,2)),VALUE(RIGHT($H95,1))*3+1,1)-1)</f>
        <v>46387</v>
      </c>
      <c r="N95" s="30" t="n">
        <f aca="false">IF($M95="","",$M95-이행현황요약!$B$3)</f>
        <v>181</v>
      </c>
      <c r="O95" s="30" t="str">
        <f aca="false">IF($H95="기한없음","기한없음",IF($N95&lt;0,"기한초과",IF($N95&lt;=34,"긴급",IF($N95&lt;=120,"주의",IF($N95&lt;=240,"관찰","여유")))))</f>
        <v>관찰</v>
      </c>
      <c r="P95" s="30" t="s">
        <v>68</v>
      </c>
    </row>
    <row r="96" customFormat="false" ht="82.5" hidden="false" customHeight="true" outlineLevel="0" collapsed="false">
      <c r="A96" s="21" t="s">
        <v>60</v>
      </c>
      <c r="B96" s="22" t="s">
        <v>325</v>
      </c>
      <c r="C96" s="21" t="s">
        <v>404</v>
      </c>
      <c r="D96" s="21" t="s">
        <v>416</v>
      </c>
      <c r="E96" s="21" t="s">
        <v>417</v>
      </c>
      <c r="F96" s="23" t="s">
        <v>329</v>
      </c>
      <c r="G96" s="31" t="s">
        <v>418</v>
      </c>
      <c r="H96" s="25" t="n">
        <v>27.2</v>
      </c>
      <c r="I96" s="26" t="s">
        <v>408</v>
      </c>
      <c r="J96" s="27"/>
      <c r="K96" s="27"/>
      <c r="L96" s="27" t="s">
        <v>332</v>
      </c>
      <c r="M96" s="28" t="n">
        <f aca="false">IF($H96="기한없음","",DATE(2000+VALUE(LEFT($H96,2)),VALUE(RIGHT($H96,1))*3+1,1)-1)</f>
        <v>46568</v>
      </c>
      <c r="N96" s="30" t="n">
        <f aca="false">IF($M96="","",$M96-이행현황요약!$B$3)</f>
        <v>362</v>
      </c>
      <c r="O96" s="30" t="str">
        <f aca="false">IF($H96="기한없음","기한없음",IF($N96&lt;0,"기한초과",IF($N96&lt;=34,"긴급",IF($N96&lt;=120,"주의",IF($N96&lt;=240,"관찰","여유")))))</f>
        <v>여유</v>
      </c>
      <c r="P96" s="30" t="s">
        <v>68</v>
      </c>
    </row>
    <row r="97" customFormat="false" ht="82.5" hidden="false" customHeight="true" outlineLevel="0" collapsed="false">
      <c r="A97" s="21" t="s">
        <v>60</v>
      </c>
      <c r="B97" s="22" t="s">
        <v>325</v>
      </c>
      <c r="C97" s="21" t="s">
        <v>404</v>
      </c>
      <c r="D97" s="21" t="s">
        <v>419</v>
      </c>
      <c r="E97" s="23" t="s">
        <v>420</v>
      </c>
      <c r="F97" s="23" t="s">
        <v>329</v>
      </c>
      <c r="G97" s="24" t="s">
        <v>421</v>
      </c>
      <c r="H97" s="25" t="n">
        <v>26.4</v>
      </c>
      <c r="I97" s="26" t="s">
        <v>408</v>
      </c>
      <c r="J97" s="27"/>
      <c r="K97" s="26" t="s">
        <v>346</v>
      </c>
      <c r="L97" s="27" t="s">
        <v>332</v>
      </c>
      <c r="M97" s="28" t="n">
        <f aca="false">IF($H97="기한없음","",DATE(2000+VALUE(LEFT($H97,2)),VALUE(RIGHT($H97,1))*3+1,1)-1)</f>
        <v>46387</v>
      </c>
      <c r="N97" s="30" t="n">
        <f aca="false">IF($M97="","",$M97-이행현황요약!$B$3)</f>
        <v>181</v>
      </c>
      <c r="O97" s="30" t="str">
        <f aca="false">IF($H97="기한없음","기한없음",IF($N97&lt;0,"기한초과",IF($N97&lt;=34,"긴급",IF($N97&lt;=120,"주의",IF($N97&lt;=240,"관찰","여유")))))</f>
        <v>관찰</v>
      </c>
      <c r="P97" s="30" t="s">
        <v>68</v>
      </c>
    </row>
    <row r="98" customFormat="false" ht="66" hidden="false" customHeight="true" outlineLevel="0" collapsed="false">
      <c r="A98" s="21" t="s">
        <v>60</v>
      </c>
      <c r="B98" s="22" t="s">
        <v>325</v>
      </c>
      <c r="C98" s="21" t="s">
        <v>404</v>
      </c>
      <c r="D98" s="21" t="s">
        <v>422</v>
      </c>
      <c r="E98" s="23" t="s">
        <v>423</v>
      </c>
      <c r="F98" s="23" t="s">
        <v>329</v>
      </c>
      <c r="G98" s="24" t="s">
        <v>424</v>
      </c>
      <c r="H98" s="25" t="n">
        <v>26.2</v>
      </c>
      <c r="I98" s="26" t="s">
        <v>425</v>
      </c>
      <c r="J98" s="27" t="s">
        <v>94</v>
      </c>
      <c r="K98" s="27"/>
      <c r="L98" s="27" t="s">
        <v>332</v>
      </c>
      <c r="M98" s="28" t="n">
        <f aca="false">IF($H98="기한없음","",DATE(2000+VALUE(LEFT($H98,2)),VALUE(RIGHT($H98,1))*3+1,1)-1)</f>
        <v>46203</v>
      </c>
      <c r="N98" s="30" t="n">
        <f aca="false">IF($M98="","",$M98-이행현황요약!$B$3)</f>
        <v>-3</v>
      </c>
      <c r="O98" s="30" t="str">
        <f aca="false">IF($H98="기한없음","기한없음",IF($N98&lt;0,"기한초과",IF($N98&lt;=34,"긴급",IF($N98&lt;=120,"주의",IF($N98&lt;=240,"관찰","여유")))))</f>
        <v>기한초과</v>
      </c>
      <c r="P98" s="30" t="s">
        <v>68</v>
      </c>
    </row>
    <row r="99" customFormat="false" ht="66" hidden="false" customHeight="true" outlineLevel="0" collapsed="false">
      <c r="A99" s="21" t="s">
        <v>60</v>
      </c>
      <c r="B99" s="22" t="s">
        <v>325</v>
      </c>
      <c r="C99" s="21" t="s">
        <v>426</v>
      </c>
      <c r="D99" s="21" t="s">
        <v>427</v>
      </c>
      <c r="E99" s="21" t="s">
        <v>428</v>
      </c>
      <c r="F99" s="23" t="s">
        <v>329</v>
      </c>
      <c r="G99" s="31" t="s">
        <v>429</v>
      </c>
      <c r="H99" s="25" t="n">
        <v>26.3</v>
      </c>
      <c r="I99" s="26" t="s">
        <v>36</v>
      </c>
      <c r="J99" s="27"/>
      <c r="K99" s="27"/>
      <c r="L99" s="27" t="s">
        <v>332</v>
      </c>
      <c r="M99" s="28" t="n">
        <f aca="false">IF($H99="기한없음","",DATE(2000+VALUE(LEFT($H99,2)),VALUE(RIGHT($H99,1))*3+1,1)-1)</f>
        <v>46295</v>
      </c>
      <c r="N99" s="30" t="n">
        <f aca="false">IF($M99="","",$M99-이행현황요약!$B$3)</f>
        <v>89</v>
      </c>
      <c r="O99" s="30" t="str">
        <f aca="false">IF($H99="기한없음","기한없음",IF($N99&lt;0,"기한초과",IF($N99&lt;=34,"긴급",IF($N99&lt;=120,"주의",IF($N99&lt;=240,"관찰","여유")))))</f>
        <v>주의</v>
      </c>
      <c r="P99" s="30" t="s">
        <v>68</v>
      </c>
    </row>
    <row r="100" customFormat="false" ht="49.5" hidden="false" customHeight="true" outlineLevel="0" collapsed="false">
      <c r="A100" s="21" t="s">
        <v>60</v>
      </c>
      <c r="B100" s="22" t="s">
        <v>325</v>
      </c>
      <c r="C100" s="21" t="s">
        <v>426</v>
      </c>
      <c r="D100" s="21" t="s">
        <v>430</v>
      </c>
      <c r="E100" s="21" t="s">
        <v>431</v>
      </c>
      <c r="F100" s="23" t="s">
        <v>329</v>
      </c>
      <c r="G100" s="31" t="s">
        <v>432</v>
      </c>
      <c r="H100" s="25" t="n">
        <v>26.3</v>
      </c>
      <c r="I100" s="26" t="s">
        <v>433</v>
      </c>
      <c r="J100" s="27" t="s">
        <v>94</v>
      </c>
      <c r="K100" s="26" t="s">
        <v>434</v>
      </c>
      <c r="L100" s="27" t="s">
        <v>332</v>
      </c>
      <c r="M100" s="28" t="n">
        <f aca="false">IF($H100="기한없음","",DATE(2000+VALUE(LEFT($H100,2)),VALUE(RIGHT($H100,1))*3+1,1)-1)</f>
        <v>46295</v>
      </c>
      <c r="N100" s="30" t="n">
        <f aca="false">IF($M100="","",$M100-이행현황요약!$B$3)</f>
        <v>89</v>
      </c>
      <c r="O100" s="30" t="str">
        <f aca="false">IF($H100="기한없음","기한없음",IF($N100&lt;0,"기한초과",IF($N100&lt;=34,"긴급",IF($N100&lt;=120,"주의",IF($N100&lt;=240,"관찰","여유")))))</f>
        <v>주의</v>
      </c>
      <c r="P100" s="30" t="s">
        <v>68</v>
      </c>
    </row>
    <row r="101" customFormat="false" ht="49.5" hidden="false" customHeight="true" outlineLevel="0" collapsed="false">
      <c r="A101" s="21" t="s">
        <v>60</v>
      </c>
      <c r="B101" s="22" t="s">
        <v>325</v>
      </c>
      <c r="C101" s="21" t="s">
        <v>426</v>
      </c>
      <c r="D101" s="21" t="s">
        <v>435</v>
      </c>
      <c r="E101" s="21" t="s">
        <v>436</v>
      </c>
      <c r="F101" s="23" t="s">
        <v>329</v>
      </c>
      <c r="G101" s="31" t="s">
        <v>437</v>
      </c>
      <c r="H101" s="25" t="n">
        <v>26.4</v>
      </c>
      <c r="I101" s="26" t="s">
        <v>36</v>
      </c>
      <c r="J101" s="27"/>
      <c r="K101" s="26" t="s">
        <v>438</v>
      </c>
      <c r="L101" s="27" t="s">
        <v>332</v>
      </c>
      <c r="M101" s="28" t="n">
        <f aca="false">IF($H101="기한없음","",DATE(2000+VALUE(LEFT($H101,2)),VALUE(RIGHT($H101,1))*3+1,1)-1)</f>
        <v>46387</v>
      </c>
      <c r="N101" s="30" t="n">
        <f aca="false">IF($M101="","",$M101-이행현황요약!$B$3)</f>
        <v>181</v>
      </c>
      <c r="O101" s="30" t="str">
        <f aca="false">IF($H101="기한없음","기한없음",IF($N101&lt;0,"기한초과",IF($N101&lt;=34,"긴급",IF($N101&lt;=120,"주의",IF($N101&lt;=240,"관찰","여유")))))</f>
        <v>관찰</v>
      </c>
      <c r="P101" s="30" t="s">
        <v>68</v>
      </c>
    </row>
    <row r="102" customFormat="false" ht="33" hidden="false" customHeight="true" outlineLevel="0" collapsed="false">
      <c r="A102" s="21" t="s">
        <v>60</v>
      </c>
      <c r="B102" s="22" t="s">
        <v>325</v>
      </c>
      <c r="C102" s="21" t="s">
        <v>426</v>
      </c>
      <c r="D102" s="21" t="s">
        <v>439</v>
      </c>
      <c r="E102" s="21" t="s">
        <v>440</v>
      </c>
      <c r="F102" s="23" t="s">
        <v>329</v>
      </c>
      <c r="G102" s="24" t="s">
        <v>441</v>
      </c>
      <c r="H102" s="25" t="n">
        <v>27.2</v>
      </c>
      <c r="I102" s="26" t="s">
        <v>442</v>
      </c>
      <c r="J102" s="27" t="s">
        <v>94</v>
      </c>
      <c r="K102" s="26" t="s">
        <v>43</v>
      </c>
      <c r="L102" s="27" t="s">
        <v>332</v>
      </c>
      <c r="M102" s="28" t="n">
        <f aca="false">IF($H102="기한없음","",DATE(2000+VALUE(LEFT($H102,2)),VALUE(RIGHT($H102,1))*3+1,1)-1)</f>
        <v>46568</v>
      </c>
      <c r="N102" s="30" t="n">
        <f aca="false">IF($M102="","",$M102-이행현황요약!$B$3)</f>
        <v>362</v>
      </c>
      <c r="O102" s="30" t="str">
        <f aca="false">IF($H102="기한없음","기한없음",IF($N102&lt;0,"기한초과",IF($N102&lt;=34,"긴급",IF($N102&lt;=120,"주의",IF($N102&lt;=240,"관찰","여유")))))</f>
        <v>여유</v>
      </c>
      <c r="P102" s="30" t="s">
        <v>68</v>
      </c>
    </row>
    <row r="103" customFormat="false" ht="66" hidden="false" customHeight="true" outlineLevel="0" collapsed="false">
      <c r="A103" s="21" t="s">
        <v>60</v>
      </c>
      <c r="B103" s="22" t="s">
        <v>325</v>
      </c>
      <c r="C103" s="21" t="s">
        <v>426</v>
      </c>
      <c r="D103" s="21" t="s">
        <v>443</v>
      </c>
      <c r="E103" s="23" t="s">
        <v>444</v>
      </c>
      <c r="F103" s="23" t="s">
        <v>329</v>
      </c>
      <c r="G103" s="31" t="s">
        <v>445</v>
      </c>
      <c r="H103" s="25" t="n">
        <v>26.4</v>
      </c>
      <c r="I103" s="26" t="s">
        <v>36</v>
      </c>
      <c r="J103" s="27"/>
      <c r="K103" s="26" t="s">
        <v>34</v>
      </c>
      <c r="L103" s="27" t="s">
        <v>332</v>
      </c>
      <c r="M103" s="28" t="n">
        <f aca="false">IF($H103="기한없음","",DATE(2000+VALUE(LEFT($H103,2)),VALUE(RIGHT($H103,1))*3+1,1)-1)</f>
        <v>46387</v>
      </c>
      <c r="N103" s="30" t="n">
        <f aca="false">IF($M103="","",$M103-이행현황요약!$B$3)</f>
        <v>181</v>
      </c>
      <c r="O103" s="30" t="str">
        <f aca="false">IF($H103="기한없음","기한없음",IF($N103&lt;0,"기한초과",IF($N103&lt;=34,"긴급",IF($N103&lt;=120,"주의",IF($N103&lt;=240,"관찰","여유")))))</f>
        <v>관찰</v>
      </c>
      <c r="P103" s="30" t="s">
        <v>68</v>
      </c>
    </row>
    <row r="104" customFormat="false" ht="66" hidden="false" customHeight="true" outlineLevel="0" collapsed="false">
      <c r="A104" s="21" t="s">
        <v>60</v>
      </c>
      <c r="B104" s="22" t="s">
        <v>325</v>
      </c>
      <c r="C104" s="21" t="s">
        <v>446</v>
      </c>
      <c r="D104" s="21" t="s">
        <v>447</v>
      </c>
      <c r="E104" s="21" t="s">
        <v>448</v>
      </c>
      <c r="F104" s="21" t="s">
        <v>123</v>
      </c>
      <c r="G104" s="31" t="s">
        <v>449</v>
      </c>
      <c r="H104" s="25" t="n">
        <v>26.2</v>
      </c>
      <c r="I104" s="26" t="s">
        <v>36</v>
      </c>
      <c r="J104" s="27"/>
      <c r="K104" s="26" t="s">
        <v>450</v>
      </c>
      <c r="L104" s="27" t="s">
        <v>125</v>
      </c>
      <c r="M104" s="28" t="n">
        <f aca="false">IF($H104="기한없음","",DATE(2000+VALUE(LEFT($H104,2)),VALUE(RIGHT($H104,1))*3+1,1)-1)</f>
        <v>46203</v>
      </c>
      <c r="N104" s="30" t="n">
        <f aca="false">IF($M104="","",$M104-이행현황요약!$B$3)</f>
        <v>-3</v>
      </c>
      <c r="O104" s="30" t="str">
        <f aca="false">IF($H104="기한없음","기한없음",IF($N104&lt;0,"기한초과",IF($N104&lt;=34,"긴급",IF($N104&lt;=120,"주의",IF($N104&lt;=240,"관찰","여유")))))</f>
        <v>기한초과</v>
      </c>
      <c r="P104" s="30" t="s">
        <v>68</v>
      </c>
    </row>
    <row r="105" customFormat="false" ht="33" hidden="false" customHeight="true" outlineLevel="0" collapsed="false">
      <c r="A105" s="21" t="s">
        <v>60</v>
      </c>
      <c r="B105" s="22" t="s">
        <v>325</v>
      </c>
      <c r="C105" s="21" t="s">
        <v>446</v>
      </c>
      <c r="D105" s="21" t="s">
        <v>451</v>
      </c>
      <c r="E105" s="21" t="s">
        <v>452</v>
      </c>
      <c r="F105" s="21" t="s">
        <v>123</v>
      </c>
      <c r="G105" s="31" t="s">
        <v>453</v>
      </c>
      <c r="H105" s="25" t="n">
        <v>27.4</v>
      </c>
      <c r="I105" s="26" t="s">
        <v>454</v>
      </c>
      <c r="J105" s="27" t="s">
        <v>94</v>
      </c>
      <c r="K105" s="27"/>
      <c r="L105" s="27" t="s">
        <v>125</v>
      </c>
      <c r="M105" s="28" t="n">
        <f aca="false">IF($H105="기한없음","",DATE(2000+VALUE(LEFT($H105,2)),VALUE(RIGHT($H105,1))*3+1,1)-1)</f>
        <v>46752</v>
      </c>
      <c r="N105" s="30" t="n">
        <f aca="false">IF($M105="","",$M105-이행현황요약!$B$3)</f>
        <v>546</v>
      </c>
      <c r="O105" s="30" t="str">
        <f aca="false">IF($H105="기한없음","기한없음",IF($N105&lt;0,"기한초과",IF($N105&lt;=34,"긴급",IF($N105&lt;=120,"주의",IF($N105&lt;=240,"관찰","여유")))))</f>
        <v>여유</v>
      </c>
      <c r="P105" s="30" t="s">
        <v>68</v>
      </c>
    </row>
    <row r="106" customFormat="false" ht="66" hidden="false" customHeight="true" outlineLevel="0" collapsed="false">
      <c r="A106" s="21" t="s">
        <v>60</v>
      </c>
      <c r="B106" s="22" t="s">
        <v>325</v>
      </c>
      <c r="C106" s="21" t="s">
        <v>446</v>
      </c>
      <c r="D106" s="21" t="s">
        <v>455</v>
      </c>
      <c r="E106" s="21" t="s">
        <v>456</v>
      </c>
      <c r="F106" s="21" t="s">
        <v>123</v>
      </c>
      <c r="G106" s="31" t="s">
        <v>457</v>
      </c>
      <c r="H106" s="25" t="n">
        <v>26.4</v>
      </c>
      <c r="I106" s="26" t="s">
        <v>36</v>
      </c>
      <c r="J106" s="27"/>
      <c r="K106" s="27"/>
      <c r="L106" s="27" t="s">
        <v>125</v>
      </c>
      <c r="M106" s="28" t="n">
        <f aca="false">IF($H106="기한없음","",DATE(2000+VALUE(LEFT($H106,2)),VALUE(RIGHT($H106,1))*3+1,1)-1)</f>
        <v>46387</v>
      </c>
      <c r="N106" s="30" t="n">
        <f aca="false">IF($M106="","",$M106-이행현황요약!$B$3)</f>
        <v>181</v>
      </c>
      <c r="O106" s="30" t="str">
        <f aca="false">IF($H106="기한없음","기한없음",IF($N106&lt;0,"기한초과",IF($N106&lt;=34,"긴급",IF($N106&lt;=120,"주의",IF($N106&lt;=240,"관찰","여유")))))</f>
        <v>관찰</v>
      </c>
      <c r="P106" s="30" t="s">
        <v>68</v>
      </c>
    </row>
    <row r="107" customFormat="false" ht="33" hidden="false" customHeight="true" outlineLevel="0" collapsed="false">
      <c r="A107" s="21" t="s">
        <v>60</v>
      </c>
      <c r="B107" s="22" t="s">
        <v>325</v>
      </c>
      <c r="C107" s="21" t="s">
        <v>446</v>
      </c>
      <c r="D107" s="21" t="s">
        <v>458</v>
      </c>
      <c r="E107" s="21" t="s">
        <v>459</v>
      </c>
      <c r="F107" s="21" t="s">
        <v>123</v>
      </c>
      <c r="G107" s="31" t="s">
        <v>460</v>
      </c>
      <c r="H107" s="25" t="n">
        <v>26.4</v>
      </c>
      <c r="I107" s="26" t="s">
        <v>36</v>
      </c>
      <c r="J107" s="27"/>
      <c r="K107" s="27"/>
      <c r="L107" s="27" t="s">
        <v>125</v>
      </c>
      <c r="M107" s="28" t="n">
        <f aca="false">IF($H107="기한없음","",DATE(2000+VALUE(LEFT($H107,2)),VALUE(RIGHT($H107,1))*3+1,1)-1)</f>
        <v>46387</v>
      </c>
      <c r="N107" s="30" t="n">
        <f aca="false">IF($M107="","",$M107-이행현황요약!$B$3)</f>
        <v>181</v>
      </c>
      <c r="O107" s="30" t="str">
        <f aca="false">IF($H107="기한없음","기한없음",IF($N107&lt;0,"기한초과",IF($N107&lt;=34,"긴급",IF($N107&lt;=120,"주의",IF($N107&lt;=240,"관찰","여유")))))</f>
        <v>관찰</v>
      </c>
      <c r="P107" s="30" t="s">
        <v>68</v>
      </c>
    </row>
    <row r="108" customFormat="false" ht="49.5" hidden="false" customHeight="true" outlineLevel="0" collapsed="false">
      <c r="A108" s="21" t="s">
        <v>60</v>
      </c>
      <c r="B108" s="22" t="s">
        <v>325</v>
      </c>
      <c r="C108" s="21" t="s">
        <v>446</v>
      </c>
      <c r="D108" s="21" t="s">
        <v>461</v>
      </c>
      <c r="E108" s="21" t="s">
        <v>462</v>
      </c>
      <c r="F108" s="21" t="s">
        <v>123</v>
      </c>
      <c r="G108" s="31" t="s">
        <v>463</v>
      </c>
      <c r="H108" s="25" t="n">
        <v>28.1</v>
      </c>
      <c r="I108" s="26" t="s">
        <v>464</v>
      </c>
      <c r="J108" s="27"/>
      <c r="K108" s="27"/>
      <c r="L108" s="27" t="s">
        <v>125</v>
      </c>
      <c r="M108" s="28" t="n">
        <f aca="false">IF($H108="기한없음","",DATE(2000+VALUE(LEFT($H108,2)),VALUE(RIGHT($H108,1))*3+1,1)-1)</f>
        <v>46843</v>
      </c>
      <c r="N108" s="30" t="n">
        <f aca="false">IF($M108="","",$M108-이행현황요약!$B$3)</f>
        <v>637</v>
      </c>
      <c r="O108" s="30" t="str">
        <f aca="false">IF($H108="기한없음","기한없음",IF($N108&lt;0,"기한초과",IF($N108&lt;=34,"긴급",IF($N108&lt;=120,"주의",IF($N108&lt;=240,"관찰","여유")))))</f>
        <v>여유</v>
      </c>
      <c r="P108" s="30" t="s">
        <v>68</v>
      </c>
    </row>
    <row r="109" customFormat="false" ht="66" hidden="false" customHeight="true" outlineLevel="0" collapsed="false">
      <c r="A109" s="21" t="s">
        <v>60</v>
      </c>
      <c r="B109" s="22" t="s">
        <v>325</v>
      </c>
      <c r="C109" s="21" t="s">
        <v>446</v>
      </c>
      <c r="D109" s="21" t="s">
        <v>465</v>
      </c>
      <c r="E109" s="23" t="s">
        <v>466</v>
      </c>
      <c r="F109" s="21" t="s">
        <v>123</v>
      </c>
      <c r="G109" s="24" t="s">
        <v>467</v>
      </c>
      <c r="H109" s="25" t="n">
        <v>26.4</v>
      </c>
      <c r="I109" s="26" t="s">
        <v>36</v>
      </c>
      <c r="J109" s="27"/>
      <c r="K109" s="27"/>
      <c r="L109" s="27" t="s">
        <v>125</v>
      </c>
      <c r="M109" s="28" t="n">
        <f aca="false">IF($H109="기한없음","",DATE(2000+VALUE(LEFT($H109,2)),VALUE(RIGHT($H109,1))*3+1,1)-1)</f>
        <v>46387</v>
      </c>
      <c r="N109" s="30" t="n">
        <f aca="false">IF($M109="","",$M109-이행현황요약!$B$3)</f>
        <v>181</v>
      </c>
      <c r="O109" s="30" t="str">
        <f aca="false">IF($H109="기한없음","기한없음",IF($N109&lt;0,"기한초과",IF($N109&lt;=34,"긴급",IF($N109&lt;=120,"주의",IF($N109&lt;=240,"관찰","여유")))))</f>
        <v>관찰</v>
      </c>
      <c r="P109" s="30" t="s">
        <v>68</v>
      </c>
    </row>
    <row r="110" customFormat="false" ht="49.5" hidden="false" customHeight="true" outlineLevel="0" collapsed="false">
      <c r="A110" s="21" t="s">
        <v>60</v>
      </c>
      <c r="B110" s="22" t="s">
        <v>325</v>
      </c>
      <c r="C110" s="21" t="s">
        <v>468</v>
      </c>
      <c r="D110" s="21" t="s">
        <v>469</v>
      </c>
      <c r="E110" s="21" t="s">
        <v>470</v>
      </c>
      <c r="F110" s="23" t="s">
        <v>329</v>
      </c>
      <c r="G110" s="31" t="s">
        <v>471</v>
      </c>
      <c r="H110" s="25" t="n">
        <v>26.2</v>
      </c>
      <c r="I110" s="26" t="s">
        <v>472</v>
      </c>
      <c r="J110" s="27"/>
      <c r="K110" s="26" t="s">
        <v>473</v>
      </c>
      <c r="L110" s="27" t="s">
        <v>332</v>
      </c>
      <c r="M110" s="28" t="n">
        <f aca="false">IF($H110="기한없음","",DATE(2000+VALUE(LEFT($H110,2)),VALUE(RIGHT($H110,1))*3+1,1)-1)</f>
        <v>46203</v>
      </c>
      <c r="N110" s="30" t="n">
        <f aca="false">IF($M110="","",$M110-이행현황요약!$B$3)</f>
        <v>-3</v>
      </c>
      <c r="O110" s="30" t="str">
        <f aca="false">IF($H110="기한없음","기한없음",IF($N110&lt;0,"기한초과",IF($N110&lt;=34,"긴급",IF($N110&lt;=120,"주의",IF($N110&lt;=240,"관찰","여유")))))</f>
        <v>기한초과</v>
      </c>
      <c r="P110" s="30" t="s">
        <v>68</v>
      </c>
    </row>
    <row r="111" customFormat="false" ht="99" hidden="false" customHeight="true" outlineLevel="0" collapsed="false">
      <c r="A111" s="21" t="s">
        <v>60</v>
      </c>
      <c r="B111" s="22" t="s">
        <v>325</v>
      </c>
      <c r="C111" s="21" t="s">
        <v>468</v>
      </c>
      <c r="D111" s="21" t="s">
        <v>474</v>
      </c>
      <c r="E111" s="21" t="s">
        <v>475</v>
      </c>
      <c r="F111" s="23" t="s">
        <v>329</v>
      </c>
      <c r="G111" s="24" t="s">
        <v>476</v>
      </c>
      <c r="H111" s="25" t="n">
        <v>26.4</v>
      </c>
      <c r="I111" s="26" t="s">
        <v>477</v>
      </c>
      <c r="J111" s="27" t="s">
        <v>94</v>
      </c>
      <c r="K111" s="27"/>
      <c r="L111" s="27" t="s">
        <v>332</v>
      </c>
      <c r="M111" s="28" t="n">
        <f aca="false">IF($H111="기한없음","",DATE(2000+VALUE(LEFT($H111,2)),VALUE(RIGHT($H111,1))*3+1,1)-1)</f>
        <v>46387</v>
      </c>
      <c r="N111" s="30" t="n">
        <f aca="false">IF($M111="","",$M111-이행현황요약!$B$3)</f>
        <v>181</v>
      </c>
      <c r="O111" s="30" t="str">
        <f aca="false">IF($H111="기한없음","기한없음",IF($N111&lt;0,"기한초과",IF($N111&lt;=34,"긴급",IF($N111&lt;=120,"주의",IF($N111&lt;=240,"관찰","여유")))))</f>
        <v>관찰</v>
      </c>
      <c r="P111" s="30" t="s">
        <v>68</v>
      </c>
    </row>
    <row r="112" customFormat="false" ht="99" hidden="false" customHeight="true" outlineLevel="0" collapsed="false">
      <c r="A112" s="21" t="s">
        <v>60</v>
      </c>
      <c r="B112" s="22" t="s">
        <v>325</v>
      </c>
      <c r="C112" s="21" t="s">
        <v>468</v>
      </c>
      <c r="D112" s="21" t="s">
        <v>478</v>
      </c>
      <c r="E112" s="21" t="s">
        <v>479</v>
      </c>
      <c r="F112" s="23" t="s">
        <v>329</v>
      </c>
      <c r="G112" s="31" t="s">
        <v>480</v>
      </c>
      <c r="H112" s="25" t="n">
        <v>27.4</v>
      </c>
      <c r="I112" s="26" t="s">
        <v>472</v>
      </c>
      <c r="J112" s="27"/>
      <c r="K112" s="26" t="s">
        <v>481</v>
      </c>
      <c r="L112" s="27" t="s">
        <v>332</v>
      </c>
      <c r="M112" s="28" t="n">
        <f aca="false">IF($H112="기한없음","",DATE(2000+VALUE(LEFT($H112,2)),VALUE(RIGHT($H112,1))*3+1,1)-1)</f>
        <v>46752</v>
      </c>
      <c r="N112" s="30" t="n">
        <f aca="false">IF($M112="","",$M112-이행현황요약!$B$3)</f>
        <v>546</v>
      </c>
      <c r="O112" s="30" t="str">
        <f aca="false">IF($H112="기한없음","기한없음",IF($N112&lt;0,"기한초과",IF($N112&lt;=34,"긴급",IF($N112&lt;=120,"주의",IF($N112&lt;=240,"관찰","여유")))))</f>
        <v>여유</v>
      </c>
      <c r="P112" s="30" t="s">
        <v>68</v>
      </c>
    </row>
    <row r="113" customFormat="false" ht="49.5" hidden="false" customHeight="true" outlineLevel="0" collapsed="false">
      <c r="A113" s="21" t="s">
        <v>60</v>
      </c>
      <c r="B113" s="22" t="s">
        <v>325</v>
      </c>
      <c r="C113" s="21" t="s">
        <v>468</v>
      </c>
      <c r="D113" s="21" t="s">
        <v>482</v>
      </c>
      <c r="E113" s="21" t="s">
        <v>483</v>
      </c>
      <c r="F113" s="23" t="s">
        <v>329</v>
      </c>
      <c r="G113" s="31" t="s">
        <v>484</v>
      </c>
      <c r="H113" s="25" t="n">
        <v>26.2</v>
      </c>
      <c r="I113" s="26" t="s">
        <v>169</v>
      </c>
      <c r="J113" s="27"/>
      <c r="K113" s="26" t="s">
        <v>485</v>
      </c>
      <c r="L113" s="27" t="s">
        <v>332</v>
      </c>
      <c r="M113" s="28" t="n">
        <f aca="false">IF($H113="기한없음","",DATE(2000+VALUE(LEFT($H113,2)),VALUE(RIGHT($H113,1))*3+1,1)-1)</f>
        <v>46203</v>
      </c>
      <c r="N113" s="30" t="n">
        <f aca="false">IF($M113="","",$M113-이행현황요약!$B$3)</f>
        <v>-3</v>
      </c>
      <c r="O113" s="30" t="str">
        <f aca="false">IF($H113="기한없음","기한없음",IF($N113&lt;0,"기한초과",IF($N113&lt;=34,"긴급",IF($N113&lt;=120,"주의",IF($N113&lt;=240,"관찰","여유")))))</f>
        <v>기한초과</v>
      </c>
      <c r="P113" s="30" t="s">
        <v>68</v>
      </c>
    </row>
    <row r="114" customFormat="false" ht="49.5" hidden="false" customHeight="true" outlineLevel="0" collapsed="false">
      <c r="A114" s="21" t="s">
        <v>60</v>
      </c>
      <c r="B114" s="22" t="s">
        <v>325</v>
      </c>
      <c r="C114" s="21" t="s">
        <v>468</v>
      </c>
      <c r="D114" s="21" t="s">
        <v>486</v>
      </c>
      <c r="E114" s="23" t="s">
        <v>487</v>
      </c>
      <c r="F114" s="23" t="s">
        <v>329</v>
      </c>
      <c r="G114" s="24" t="s">
        <v>488</v>
      </c>
      <c r="H114" s="32" t="s">
        <v>17</v>
      </c>
      <c r="I114" s="26" t="s">
        <v>489</v>
      </c>
      <c r="J114" s="27"/>
      <c r="K114" s="26" t="s">
        <v>481</v>
      </c>
      <c r="L114" s="27" t="s">
        <v>332</v>
      </c>
      <c r="M114" s="28" t="str">
        <f aca="false">IF($H114="기한없음","",DATE(2000+VALUE(LEFT($H114,2)),VALUE(RIGHT($H114,1))*3+1,1)-1)</f>
        <v/>
      </c>
      <c r="N114" s="30" t="str">
        <f aca="false">IF($M114="","",$M114-이행현황요약!$B$3)</f>
        <v/>
      </c>
      <c r="O114" s="30" t="str">
        <f aca="false">IF($H114="기한없음","기한없음",IF($N114&lt;0,"기한초과",IF($N114&lt;=34,"긴급",IF($N114&lt;=120,"주의",IF($N114&lt;=240,"관찰","여유")))))</f>
        <v>기한없음</v>
      </c>
      <c r="P114" s="30" t="s">
        <v>68</v>
      </c>
    </row>
    <row r="115" customFormat="false" ht="49.5" hidden="false" customHeight="true" outlineLevel="0" collapsed="false">
      <c r="A115" s="21" t="s">
        <v>60</v>
      </c>
      <c r="B115" s="22" t="s">
        <v>325</v>
      </c>
      <c r="C115" s="21" t="s">
        <v>468</v>
      </c>
      <c r="D115" s="21" t="s">
        <v>490</v>
      </c>
      <c r="E115" s="21" t="s">
        <v>491</v>
      </c>
      <c r="F115" s="23" t="s">
        <v>329</v>
      </c>
      <c r="G115" s="24" t="s">
        <v>492</v>
      </c>
      <c r="H115" s="32" t="s">
        <v>17</v>
      </c>
      <c r="I115" s="26" t="s">
        <v>493</v>
      </c>
      <c r="J115" s="27" t="s">
        <v>94</v>
      </c>
      <c r="K115" s="27"/>
      <c r="L115" s="27" t="s">
        <v>332</v>
      </c>
      <c r="M115" s="28" t="str">
        <f aca="false">IF($H115="기한없음","",DATE(2000+VALUE(LEFT($H115,2)),VALUE(RIGHT($H115,1))*3+1,1)-1)</f>
        <v/>
      </c>
      <c r="N115" s="30" t="str">
        <f aca="false">IF($M115="","",$M115-이행현황요약!$B$3)</f>
        <v/>
      </c>
      <c r="O115" s="30" t="str">
        <f aca="false">IF($H115="기한없음","기한없음",IF($N115&lt;0,"기한초과",IF($N115&lt;=34,"긴급",IF($N115&lt;=120,"주의",IF($N115&lt;=240,"관찰","여유")))))</f>
        <v>기한없음</v>
      </c>
      <c r="P115" s="30" t="s">
        <v>68</v>
      </c>
    </row>
    <row r="116" customFormat="false" ht="33" hidden="false" customHeight="true" outlineLevel="0" collapsed="false">
      <c r="A116" s="21" t="s">
        <v>60</v>
      </c>
      <c r="B116" s="22" t="s">
        <v>325</v>
      </c>
      <c r="C116" s="34" t="s">
        <v>494</v>
      </c>
      <c r="D116" s="34" t="s">
        <v>495</v>
      </c>
      <c r="E116" s="34" t="s">
        <v>496</v>
      </c>
      <c r="F116" s="23" t="s">
        <v>329</v>
      </c>
      <c r="G116" s="31" t="s">
        <v>497</v>
      </c>
      <c r="H116" s="25" t="n">
        <v>26.1</v>
      </c>
      <c r="I116" s="26" t="s">
        <v>45</v>
      </c>
      <c r="J116" s="27"/>
      <c r="K116" s="26" t="s">
        <v>237</v>
      </c>
      <c r="L116" s="27" t="s">
        <v>332</v>
      </c>
      <c r="M116" s="28" t="n">
        <f aca="false">IF($H116="기한없음","",DATE(2000+VALUE(LEFT($H116,2)),VALUE(RIGHT($H116,1))*3+1,1)-1)</f>
        <v>46112</v>
      </c>
      <c r="N116" s="30" t="n">
        <f aca="false">IF($M116="","",$M116-이행현황요약!$B$3)</f>
        <v>-94</v>
      </c>
      <c r="O116" s="30" t="str">
        <f aca="false">IF($H116="기한없음","기한없음",IF($N116&lt;0,"기한초과",IF($N116&lt;=34,"긴급",IF($N116&lt;=120,"주의",IF($N116&lt;=240,"관찰","여유")))))</f>
        <v>기한초과</v>
      </c>
      <c r="P116" s="30" t="s">
        <v>68</v>
      </c>
    </row>
    <row r="117" customFormat="false" ht="49.5" hidden="false" customHeight="true" outlineLevel="0" collapsed="false">
      <c r="A117" s="21" t="s">
        <v>60</v>
      </c>
      <c r="B117" s="22" t="s">
        <v>325</v>
      </c>
      <c r="C117" s="34" t="s">
        <v>494</v>
      </c>
      <c r="D117" s="34" t="s">
        <v>498</v>
      </c>
      <c r="E117" s="34" t="s">
        <v>499</v>
      </c>
      <c r="F117" s="23" t="s">
        <v>329</v>
      </c>
      <c r="G117" s="31" t="s">
        <v>500</v>
      </c>
      <c r="H117" s="25" t="n">
        <v>27.4</v>
      </c>
      <c r="I117" s="26" t="s">
        <v>43</v>
      </c>
      <c r="J117" s="27"/>
      <c r="K117" s="26" t="s">
        <v>501</v>
      </c>
      <c r="L117" s="27" t="s">
        <v>332</v>
      </c>
      <c r="M117" s="28" t="n">
        <f aca="false">IF($H117="기한없음","",DATE(2000+VALUE(LEFT($H117,2)),VALUE(RIGHT($H117,1))*3+1,1)-1)</f>
        <v>46752</v>
      </c>
      <c r="N117" s="30" t="n">
        <f aca="false">IF($M117="","",$M117-이행현황요약!$B$3)</f>
        <v>546</v>
      </c>
      <c r="O117" s="30" t="str">
        <f aca="false">IF($H117="기한없음","기한없음",IF($N117&lt;0,"기한초과",IF($N117&lt;=34,"긴급",IF($N117&lt;=120,"주의",IF($N117&lt;=240,"관찰","여유")))))</f>
        <v>여유</v>
      </c>
      <c r="P117" s="30" t="s">
        <v>68</v>
      </c>
    </row>
    <row r="118" customFormat="false" ht="33" hidden="false" customHeight="true" outlineLevel="0" collapsed="false">
      <c r="A118" s="21" t="s">
        <v>60</v>
      </c>
      <c r="B118" s="22" t="s">
        <v>325</v>
      </c>
      <c r="C118" s="21" t="s">
        <v>502</v>
      </c>
      <c r="D118" s="21" t="s">
        <v>503</v>
      </c>
      <c r="E118" s="23" t="s">
        <v>504</v>
      </c>
      <c r="F118" s="23" t="s">
        <v>289</v>
      </c>
      <c r="G118" s="31" t="s">
        <v>505</v>
      </c>
      <c r="H118" s="25" t="n">
        <v>26.1</v>
      </c>
      <c r="I118" s="26" t="s">
        <v>34</v>
      </c>
      <c r="J118" s="27"/>
      <c r="K118" s="27"/>
      <c r="L118" s="27" t="s">
        <v>125</v>
      </c>
      <c r="M118" s="28" t="n">
        <f aca="false">IF($H118="기한없음","",DATE(2000+VALUE(LEFT($H118,2)),VALUE(RIGHT($H118,1))*3+1,1)-1)</f>
        <v>46112</v>
      </c>
      <c r="N118" s="30" t="n">
        <f aca="false">IF($M118="","",$M118-이행현황요약!$B$3)</f>
        <v>-94</v>
      </c>
      <c r="O118" s="30" t="str">
        <f aca="false">IF($H118="기한없음","기한없음",IF($N118&lt;0,"기한초과",IF($N118&lt;=34,"긴급",IF($N118&lt;=120,"주의",IF($N118&lt;=240,"관찰","여유")))))</f>
        <v>기한초과</v>
      </c>
      <c r="P118" s="30" t="s">
        <v>68</v>
      </c>
    </row>
    <row r="119" customFormat="false" ht="66" hidden="false" customHeight="true" outlineLevel="0" collapsed="false">
      <c r="A119" s="21" t="s">
        <v>60</v>
      </c>
      <c r="B119" s="22" t="s">
        <v>325</v>
      </c>
      <c r="C119" s="21" t="s">
        <v>502</v>
      </c>
      <c r="D119" s="21" t="s">
        <v>506</v>
      </c>
      <c r="E119" s="23" t="s">
        <v>507</v>
      </c>
      <c r="F119" s="23" t="s">
        <v>289</v>
      </c>
      <c r="G119" s="31" t="s">
        <v>508</v>
      </c>
      <c r="H119" s="25" t="n">
        <v>26.1</v>
      </c>
      <c r="I119" s="26" t="s">
        <v>40</v>
      </c>
      <c r="J119" s="27"/>
      <c r="K119" s="27"/>
      <c r="L119" s="27" t="s">
        <v>125</v>
      </c>
      <c r="M119" s="28" t="n">
        <f aca="false">IF($H119="기한없음","",DATE(2000+VALUE(LEFT($H119,2)),VALUE(RIGHT($H119,1))*3+1,1)-1)</f>
        <v>46112</v>
      </c>
      <c r="N119" s="30" t="n">
        <f aca="false">IF($M119="","",$M119-이행현황요약!$B$3)</f>
        <v>-94</v>
      </c>
      <c r="O119" s="30" t="str">
        <f aca="false">IF($H119="기한없음","기한없음",IF($N119&lt;0,"기한초과",IF($N119&lt;=34,"긴급",IF($N119&lt;=120,"주의",IF($N119&lt;=240,"관찰","여유")))))</f>
        <v>기한초과</v>
      </c>
      <c r="P119" s="30" t="s">
        <v>68</v>
      </c>
    </row>
    <row r="120" customFormat="false" ht="33" hidden="false" customHeight="true" outlineLevel="0" collapsed="false">
      <c r="A120" s="21" t="s">
        <v>60</v>
      </c>
      <c r="B120" s="22" t="s">
        <v>325</v>
      </c>
      <c r="C120" s="21" t="s">
        <v>502</v>
      </c>
      <c r="D120" s="21" t="s">
        <v>509</v>
      </c>
      <c r="E120" s="23" t="s">
        <v>510</v>
      </c>
      <c r="F120" s="23" t="s">
        <v>289</v>
      </c>
      <c r="G120" s="31" t="s">
        <v>511</v>
      </c>
      <c r="H120" s="25" t="n">
        <v>26.2</v>
      </c>
      <c r="I120" s="26" t="s">
        <v>40</v>
      </c>
      <c r="J120" s="27"/>
      <c r="K120" s="27"/>
      <c r="L120" s="27" t="s">
        <v>125</v>
      </c>
      <c r="M120" s="28" t="n">
        <f aca="false">IF($H120="기한없음","",DATE(2000+VALUE(LEFT($H120,2)),VALUE(RIGHT($H120,1))*3+1,1)-1)</f>
        <v>46203</v>
      </c>
      <c r="N120" s="30" t="n">
        <f aca="false">IF($M120="","",$M120-이행현황요약!$B$3)</f>
        <v>-3</v>
      </c>
      <c r="O120" s="30" t="str">
        <f aca="false">IF($H120="기한없음","기한없음",IF($N120&lt;0,"기한초과",IF($N120&lt;=34,"긴급",IF($N120&lt;=120,"주의",IF($N120&lt;=240,"관찰","여유")))))</f>
        <v>기한초과</v>
      </c>
      <c r="P120" s="30" t="s">
        <v>68</v>
      </c>
    </row>
    <row r="121" customFormat="false" ht="33" hidden="false" customHeight="true" outlineLevel="0" collapsed="false">
      <c r="A121" s="21" t="s">
        <v>60</v>
      </c>
      <c r="B121" s="22" t="s">
        <v>325</v>
      </c>
      <c r="C121" s="21" t="s">
        <v>502</v>
      </c>
      <c r="D121" s="21" t="s">
        <v>512</v>
      </c>
      <c r="E121" s="23" t="s">
        <v>513</v>
      </c>
      <c r="F121" s="23" t="s">
        <v>289</v>
      </c>
      <c r="G121" s="31" t="s">
        <v>514</v>
      </c>
      <c r="H121" s="25" t="n">
        <v>26.2</v>
      </c>
      <c r="I121" s="26" t="s">
        <v>41</v>
      </c>
      <c r="J121" s="27"/>
      <c r="K121" s="27"/>
      <c r="L121" s="27" t="s">
        <v>125</v>
      </c>
      <c r="M121" s="28" t="n">
        <f aca="false">IF($H121="기한없음","",DATE(2000+VALUE(LEFT($H121,2)),VALUE(RIGHT($H121,1))*3+1,1)-1)</f>
        <v>46203</v>
      </c>
      <c r="N121" s="30" t="n">
        <f aca="false">IF($M121="","",$M121-이행현황요약!$B$3)</f>
        <v>-3</v>
      </c>
      <c r="O121" s="30" t="str">
        <f aca="false">IF($H121="기한없음","기한없음",IF($N121&lt;0,"기한초과",IF($N121&lt;=34,"긴급",IF($N121&lt;=120,"주의",IF($N121&lt;=240,"관찰","여유")))))</f>
        <v>기한초과</v>
      </c>
      <c r="P121" s="30" t="s">
        <v>68</v>
      </c>
    </row>
    <row r="122" customFormat="false" ht="132" hidden="false" customHeight="true" outlineLevel="0" collapsed="false">
      <c r="A122" s="21" t="s">
        <v>60</v>
      </c>
      <c r="B122" s="22" t="s">
        <v>325</v>
      </c>
      <c r="C122" s="21" t="s">
        <v>502</v>
      </c>
      <c r="D122" s="21" t="s">
        <v>515</v>
      </c>
      <c r="E122" s="23" t="s">
        <v>516</v>
      </c>
      <c r="F122" s="23" t="s">
        <v>289</v>
      </c>
      <c r="G122" s="31" t="s">
        <v>517</v>
      </c>
      <c r="H122" s="25" t="n">
        <v>26.2</v>
      </c>
      <c r="I122" s="26" t="s">
        <v>44</v>
      </c>
      <c r="J122" s="27"/>
      <c r="K122" s="27"/>
      <c r="L122" s="27" t="s">
        <v>125</v>
      </c>
      <c r="M122" s="28" t="n">
        <f aca="false">IF($H122="기한없음","",DATE(2000+VALUE(LEFT($H122,2)),VALUE(RIGHT($H122,1))*3+1,1)-1)</f>
        <v>46203</v>
      </c>
      <c r="N122" s="30" t="n">
        <f aca="false">IF($M122="","",$M122-이행현황요약!$B$3)</f>
        <v>-3</v>
      </c>
      <c r="O122" s="30" t="str">
        <f aca="false">IF($H122="기한없음","기한없음",IF($N122&lt;0,"기한초과",IF($N122&lt;=34,"긴급",IF($N122&lt;=120,"주의",IF($N122&lt;=240,"관찰","여유")))))</f>
        <v>기한초과</v>
      </c>
      <c r="P122" s="30" t="s">
        <v>68</v>
      </c>
    </row>
    <row r="123" customFormat="false" ht="49.5" hidden="false" customHeight="true" outlineLevel="0" collapsed="false">
      <c r="A123" s="21" t="s">
        <v>60</v>
      </c>
      <c r="B123" s="22" t="s">
        <v>325</v>
      </c>
      <c r="C123" s="21" t="s">
        <v>502</v>
      </c>
      <c r="D123" s="21" t="s">
        <v>518</v>
      </c>
      <c r="E123" s="21" t="s">
        <v>519</v>
      </c>
      <c r="F123" s="23" t="s">
        <v>289</v>
      </c>
      <c r="G123" s="31" t="s">
        <v>520</v>
      </c>
      <c r="H123" s="25" t="n">
        <v>26.1</v>
      </c>
      <c r="I123" s="26" t="s">
        <v>472</v>
      </c>
      <c r="J123" s="27"/>
      <c r="K123" s="26" t="s">
        <v>40</v>
      </c>
      <c r="L123" s="27" t="s">
        <v>125</v>
      </c>
      <c r="M123" s="28" t="n">
        <f aca="false">IF($H123="기한없음","",DATE(2000+VALUE(LEFT($H123,2)),VALUE(RIGHT($H123,1))*3+1,1)-1)</f>
        <v>46112</v>
      </c>
      <c r="N123" s="30" t="n">
        <f aca="false">IF($M123="","",$M123-이행현황요약!$B$3)</f>
        <v>-94</v>
      </c>
      <c r="O123" s="30" t="str">
        <f aca="false">IF($H123="기한없음","기한없음",IF($N123&lt;0,"기한초과",IF($N123&lt;=34,"긴급",IF($N123&lt;=120,"주의",IF($N123&lt;=240,"관찰","여유")))))</f>
        <v>기한초과</v>
      </c>
      <c r="P123" s="30" t="s">
        <v>68</v>
      </c>
    </row>
    <row r="124" customFormat="false" ht="66" hidden="false" customHeight="true" outlineLevel="0" collapsed="false">
      <c r="A124" s="21" t="s">
        <v>60</v>
      </c>
      <c r="B124" s="22" t="s">
        <v>325</v>
      </c>
      <c r="C124" s="21" t="s">
        <v>521</v>
      </c>
      <c r="D124" s="21" t="s">
        <v>522</v>
      </c>
      <c r="E124" s="23" t="s">
        <v>523</v>
      </c>
      <c r="F124" s="23" t="s">
        <v>289</v>
      </c>
      <c r="G124" s="31" t="s">
        <v>524</v>
      </c>
      <c r="H124" s="25" t="n">
        <v>26.4</v>
      </c>
      <c r="I124" s="26" t="s">
        <v>40</v>
      </c>
      <c r="J124" s="27"/>
      <c r="K124" s="27"/>
      <c r="L124" s="27" t="s">
        <v>125</v>
      </c>
      <c r="M124" s="28" t="n">
        <f aca="false">IF($H124="기한없음","",DATE(2000+VALUE(LEFT($H124,2)),VALUE(RIGHT($H124,1))*3+1,1)-1)</f>
        <v>46387</v>
      </c>
      <c r="N124" s="30" t="n">
        <f aca="false">IF($M124="","",$M124-이행현황요약!$B$3)</f>
        <v>181</v>
      </c>
      <c r="O124" s="30" t="str">
        <f aca="false">IF($H124="기한없음","기한없음",IF($N124&lt;0,"기한초과",IF($N124&lt;=34,"긴급",IF($N124&lt;=120,"주의",IF($N124&lt;=240,"관찰","여유")))))</f>
        <v>관찰</v>
      </c>
      <c r="P124" s="30" t="s">
        <v>68</v>
      </c>
    </row>
    <row r="125" customFormat="false" ht="66" hidden="false" customHeight="true" outlineLevel="0" collapsed="false">
      <c r="A125" s="21" t="s">
        <v>60</v>
      </c>
      <c r="B125" s="22" t="s">
        <v>325</v>
      </c>
      <c r="C125" s="21" t="s">
        <v>521</v>
      </c>
      <c r="D125" s="21" t="s">
        <v>525</v>
      </c>
      <c r="E125" s="21" t="s">
        <v>526</v>
      </c>
      <c r="F125" s="23" t="s">
        <v>289</v>
      </c>
      <c r="G125" s="24" t="s">
        <v>527</v>
      </c>
      <c r="H125" s="25" t="n">
        <v>26.1</v>
      </c>
      <c r="I125" s="26" t="s">
        <v>34</v>
      </c>
      <c r="J125" s="27"/>
      <c r="K125" s="27"/>
      <c r="L125" s="27" t="s">
        <v>125</v>
      </c>
      <c r="M125" s="28" t="n">
        <f aca="false">IF($H125="기한없음","",DATE(2000+VALUE(LEFT($H125,2)),VALUE(RIGHT($H125,1))*3+1,1)-1)</f>
        <v>46112</v>
      </c>
      <c r="N125" s="30" t="n">
        <f aca="false">IF($M125="","",$M125-이행현황요약!$B$3)</f>
        <v>-94</v>
      </c>
      <c r="O125" s="30" t="str">
        <f aca="false">IF($H125="기한없음","기한없음",IF($N125&lt;0,"기한초과",IF($N125&lt;=34,"긴급",IF($N125&lt;=120,"주의",IF($N125&lt;=240,"관찰","여유")))))</f>
        <v>기한초과</v>
      </c>
      <c r="P125" s="30" t="s">
        <v>68</v>
      </c>
    </row>
    <row r="126" customFormat="false" ht="33" hidden="false" customHeight="true" outlineLevel="0" collapsed="false">
      <c r="A126" s="21" t="s">
        <v>60</v>
      </c>
      <c r="B126" s="22" t="s">
        <v>325</v>
      </c>
      <c r="C126" s="21" t="s">
        <v>521</v>
      </c>
      <c r="D126" s="21" t="s">
        <v>528</v>
      </c>
      <c r="E126" s="23" t="s">
        <v>529</v>
      </c>
      <c r="F126" s="23" t="s">
        <v>289</v>
      </c>
      <c r="G126" s="31" t="s">
        <v>530</v>
      </c>
      <c r="H126" s="25" t="n">
        <v>26.2</v>
      </c>
      <c r="I126" s="26" t="s">
        <v>34</v>
      </c>
      <c r="J126" s="27"/>
      <c r="K126" s="26" t="s">
        <v>36</v>
      </c>
      <c r="L126" s="27" t="s">
        <v>125</v>
      </c>
      <c r="M126" s="28" t="n">
        <f aca="false">IF($H126="기한없음","",DATE(2000+VALUE(LEFT($H126,2)),VALUE(RIGHT($H126,1))*3+1,1)-1)</f>
        <v>46203</v>
      </c>
      <c r="N126" s="30" t="n">
        <f aca="false">IF($M126="","",$M126-이행현황요약!$B$3)</f>
        <v>-3</v>
      </c>
      <c r="O126" s="30" t="str">
        <f aca="false">IF($H126="기한없음","기한없음",IF($N126&lt;0,"기한초과",IF($N126&lt;=34,"긴급",IF($N126&lt;=120,"주의",IF($N126&lt;=240,"관찰","여유")))))</f>
        <v>기한초과</v>
      </c>
      <c r="P126" s="30" t="s">
        <v>68</v>
      </c>
    </row>
    <row r="127" customFormat="false" ht="33" hidden="false" customHeight="true" outlineLevel="0" collapsed="false">
      <c r="A127" s="21" t="s">
        <v>60</v>
      </c>
      <c r="B127" s="22" t="s">
        <v>325</v>
      </c>
      <c r="C127" s="21" t="s">
        <v>521</v>
      </c>
      <c r="D127" s="21" t="s">
        <v>531</v>
      </c>
      <c r="E127" s="23" t="s">
        <v>532</v>
      </c>
      <c r="F127" s="23" t="s">
        <v>289</v>
      </c>
      <c r="G127" s="24" t="s">
        <v>533</v>
      </c>
      <c r="H127" s="25" t="n">
        <v>26.3</v>
      </c>
      <c r="I127" s="26" t="s">
        <v>40</v>
      </c>
      <c r="J127" s="27"/>
      <c r="K127" s="27"/>
      <c r="L127" s="27" t="s">
        <v>125</v>
      </c>
      <c r="M127" s="28" t="n">
        <f aca="false">IF($H127="기한없음","",DATE(2000+VALUE(LEFT($H127,2)),VALUE(RIGHT($H127,1))*3+1,1)-1)</f>
        <v>46295</v>
      </c>
      <c r="N127" s="30" t="n">
        <f aca="false">IF($M127="","",$M127-이행현황요약!$B$3)</f>
        <v>89</v>
      </c>
      <c r="O127" s="30" t="str">
        <f aca="false">IF($H127="기한없음","기한없음",IF($N127&lt;0,"기한초과",IF($N127&lt;=34,"긴급",IF($N127&lt;=120,"주의",IF($N127&lt;=240,"관찰","여유")))))</f>
        <v>주의</v>
      </c>
      <c r="P127" s="30" t="s">
        <v>68</v>
      </c>
    </row>
    <row r="128" customFormat="false" ht="33" hidden="false" customHeight="true" outlineLevel="0" collapsed="false">
      <c r="A128" s="21" t="s">
        <v>60</v>
      </c>
      <c r="B128" s="22" t="s">
        <v>325</v>
      </c>
      <c r="C128" s="21" t="s">
        <v>521</v>
      </c>
      <c r="D128" s="21" t="s">
        <v>534</v>
      </c>
      <c r="E128" s="23" t="s">
        <v>535</v>
      </c>
      <c r="F128" s="23" t="s">
        <v>289</v>
      </c>
      <c r="G128" s="31" t="s">
        <v>536</v>
      </c>
      <c r="H128" s="25" t="n">
        <v>26.1</v>
      </c>
      <c r="I128" s="26" t="s">
        <v>34</v>
      </c>
      <c r="J128" s="27"/>
      <c r="K128" s="27"/>
      <c r="L128" s="27" t="s">
        <v>125</v>
      </c>
      <c r="M128" s="28" t="n">
        <f aca="false">IF($H128="기한없음","",DATE(2000+VALUE(LEFT($H128,2)),VALUE(RIGHT($H128,1))*3+1,1)-1)</f>
        <v>46112</v>
      </c>
      <c r="N128" s="30" t="n">
        <f aca="false">IF($M128="","",$M128-이행현황요약!$B$3)</f>
        <v>-94</v>
      </c>
      <c r="O128" s="30" t="str">
        <f aca="false">IF($H128="기한없음","기한없음",IF($N128&lt;0,"기한초과",IF($N128&lt;=34,"긴급",IF($N128&lt;=120,"주의",IF($N128&lt;=240,"관찰","여유")))))</f>
        <v>기한초과</v>
      </c>
      <c r="P128" s="30" t="s">
        <v>68</v>
      </c>
    </row>
    <row r="129" customFormat="false" ht="49.5" hidden="false" customHeight="true" outlineLevel="0" collapsed="false">
      <c r="A129" s="21" t="s">
        <v>60</v>
      </c>
      <c r="B129" s="22" t="s">
        <v>325</v>
      </c>
      <c r="C129" s="21" t="s">
        <v>521</v>
      </c>
      <c r="D129" s="21" t="s">
        <v>537</v>
      </c>
      <c r="E129" s="23" t="s">
        <v>538</v>
      </c>
      <c r="F129" s="23" t="s">
        <v>289</v>
      </c>
      <c r="G129" s="31" t="s">
        <v>539</v>
      </c>
      <c r="H129" s="25" t="n">
        <v>26.1</v>
      </c>
      <c r="I129" s="26" t="s">
        <v>34</v>
      </c>
      <c r="J129" s="27"/>
      <c r="K129" s="27"/>
      <c r="L129" s="27" t="s">
        <v>125</v>
      </c>
      <c r="M129" s="28" t="n">
        <f aca="false">IF($H129="기한없음","",DATE(2000+VALUE(LEFT($H129,2)),VALUE(RIGHT($H129,1))*3+1,1)-1)</f>
        <v>46112</v>
      </c>
      <c r="N129" s="30" t="n">
        <f aca="false">IF($M129="","",$M129-이행현황요약!$B$3)</f>
        <v>-94</v>
      </c>
      <c r="O129" s="30" t="str">
        <f aca="false">IF($H129="기한없음","기한없음",IF($N129&lt;0,"기한초과",IF($N129&lt;=34,"긴급",IF($N129&lt;=120,"주의",IF($N129&lt;=240,"관찰","여유")))))</f>
        <v>기한초과</v>
      </c>
      <c r="P129" s="30" t="s">
        <v>68</v>
      </c>
    </row>
    <row r="130" customFormat="false" ht="33" hidden="false" customHeight="true" outlineLevel="0" collapsed="false">
      <c r="A130" s="21" t="s">
        <v>60</v>
      </c>
      <c r="B130" s="22" t="s">
        <v>325</v>
      </c>
      <c r="C130" s="21" t="s">
        <v>521</v>
      </c>
      <c r="D130" s="21" t="s">
        <v>540</v>
      </c>
      <c r="E130" s="23" t="s">
        <v>541</v>
      </c>
      <c r="F130" s="23" t="s">
        <v>289</v>
      </c>
      <c r="G130" s="31" t="s">
        <v>542</v>
      </c>
      <c r="H130" s="25" t="n">
        <v>26.2</v>
      </c>
      <c r="I130" s="26" t="s">
        <v>40</v>
      </c>
      <c r="J130" s="27"/>
      <c r="K130" s="27"/>
      <c r="L130" s="27" t="s">
        <v>125</v>
      </c>
      <c r="M130" s="28" t="n">
        <f aca="false">IF($H130="기한없음","",DATE(2000+VALUE(LEFT($H130,2)),VALUE(RIGHT($H130,1))*3+1,1)-1)</f>
        <v>46203</v>
      </c>
      <c r="N130" s="30" t="n">
        <f aca="false">IF($M130="","",$M130-이행현황요약!$B$3)</f>
        <v>-3</v>
      </c>
      <c r="O130" s="30" t="str">
        <f aca="false">IF($H130="기한없음","기한없음",IF($N130&lt;0,"기한초과",IF($N130&lt;=34,"긴급",IF($N130&lt;=120,"주의",IF($N130&lt;=240,"관찰","여유")))))</f>
        <v>기한초과</v>
      </c>
      <c r="P130" s="30" t="s">
        <v>68</v>
      </c>
    </row>
    <row r="131" customFormat="false" ht="33" hidden="false" customHeight="true" outlineLevel="0" collapsed="false">
      <c r="A131" s="21" t="s">
        <v>60</v>
      </c>
      <c r="B131" s="22" t="s">
        <v>325</v>
      </c>
      <c r="C131" s="21" t="s">
        <v>521</v>
      </c>
      <c r="D131" s="21" t="s">
        <v>543</v>
      </c>
      <c r="E131" s="23" t="s">
        <v>544</v>
      </c>
      <c r="F131" s="23" t="s">
        <v>289</v>
      </c>
      <c r="G131" s="31" t="s">
        <v>545</v>
      </c>
      <c r="H131" s="25" t="n">
        <v>26.2</v>
      </c>
      <c r="I131" s="26" t="s">
        <v>408</v>
      </c>
      <c r="J131" s="27"/>
      <c r="K131" s="27"/>
      <c r="L131" s="27" t="s">
        <v>125</v>
      </c>
      <c r="M131" s="28" t="n">
        <f aca="false">IF($H131="기한없음","",DATE(2000+VALUE(LEFT($H131,2)),VALUE(RIGHT($H131,1))*3+1,1)-1)</f>
        <v>46203</v>
      </c>
      <c r="N131" s="30" t="n">
        <f aca="false">IF($M131="","",$M131-이행현황요약!$B$3)</f>
        <v>-3</v>
      </c>
      <c r="O131" s="30" t="str">
        <f aca="false">IF($H131="기한없음","기한없음",IF($N131&lt;0,"기한초과",IF($N131&lt;=34,"긴급",IF($N131&lt;=120,"주의",IF($N131&lt;=240,"관찰","여유")))))</f>
        <v>기한초과</v>
      </c>
      <c r="P131" s="30" t="s">
        <v>68</v>
      </c>
    </row>
    <row r="132" customFormat="false" ht="33" hidden="false" customHeight="true" outlineLevel="0" collapsed="false">
      <c r="A132" s="21" t="s">
        <v>60</v>
      </c>
      <c r="B132" s="22" t="s">
        <v>325</v>
      </c>
      <c r="C132" s="21" t="s">
        <v>546</v>
      </c>
      <c r="D132" s="21" t="s">
        <v>547</v>
      </c>
      <c r="E132" s="23" t="s">
        <v>548</v>
      </c>
      <c r="F132" s="23" t="s">
        <v>289</v>
      </c>
      <c r="G132" s="24" t="s">
        <v>549</v>
      </c>
      <c r="H132" s="25" t="n">
        <v>26.2</v>
      </c>
      <c r="I132" s="26" t="s">
        <v>40</v>
      </c>
      <c r="J132" s="27"/>
      <c r="K132" s="27"/>
      <c r="L132" s="27" t="s">
        <v>125</v>
      </c>
      <c r="M132" s="28" t="n">
        <f aca="false">IF($H132="기한없음","",DATE(2000+VALUE(LEFT($H132,2)),VALUE(RIGHT($H132,1))*3+1,1)-1)</f>
        <v>46203</v>
      </c>
      <c r="N132" s="30" t="n">
        <f aca="false">IF($M132="","",$M132-이행현황요약!$B$3)</f>
        <v>-3</v>
      </c>
      <c r="O132" s="30" t="str">
        <f aca="false">IF($H132="기한없음","기한없음",IF($N132&lt;0,"기한초과",IF($N132&lt;=34,"긴급",IF($N132&lt;=120,"주의",IF($N132&lt;=240,"관찰","여유")))))</f>
        <v>기한초과</v>
      </c>
      <c r="P132" s="30" t="s">
        <v>68</v>
      </c>
    </row>
    <row r="133" customFormat="false" ht="33" hidden="false" customHeight="true" outlineLevel="0" collapsed="false">
      <c r="A133" s="21" t="s">
        <v>60</v>
      </c>
      <c r="B133" s="22" t="s">
        <v>325</v>
      </c>
      <c r="C133" s="21" t="s">
        <v>546</v>
      </c>
      <c r="D133" s="21" t="s">
        <v>550</v>
      </c>
      <c r="E133" s="23" t="s">
        <v>551</v>
      </c>
      <c r="F133" s="23" t="s">
        <v>289</v>
      </c>
      <c r="G133" s="24" t="s">
        <v>552</v>
      </c>
      <c r="H133" s="25" t="n">
        <v>26.2</v>
      </c>
      <c r="I133" s="26" t="s">
        <v>40</v>
      </c>
      <c r="J133" s="27"/>
      <c r="K133" s="27"/>
      <c r="L133" s="27" t="s">
        <v>125</v>
      </c>
      <c r="M133" s="28" t="n">
        <f aca="false">IF($H133="기한없음","",DATE(2000+VALUE(LEFT($H133,2)),VALUE(RIGHT($H133,1))*3+1,1)-1)</f>
        <v>46203</v>
      </c>
      <c r="N133" s="30" t="n">
        <f aca="false">IF($M133="","",$M133-이행현황요약!$B$3)</f>
        <v>-3</v>
      </c>
      <c r="O133" s="30" t="str">
        <f aca="false">IF($H133="기한없음","기한없음",IF($N133&lt;0,"기한초과",IF($N133&lt;=34,"긴급",IF($N133&lt;=120,"주의",IF($N133&lt;=240,"관찰","여유")))))</f>
        <v>기한초과</v>
      </c>
      <c r="P133" s="30" t="s">
        <v>68</v>
      </c>
    </row>
    <row r="134" customFormat="false" ht="33" hidden="false" customHeight="true" outlineLevel="0" collapsed="false">
      <c r="A134" s="21" t="s">
        <v>60</v>
      </c>
      <c r="B134" s="22" t="s">
        <v>325</v>
      </c>
      <c r="C134" s="21" t="s">
        <v>546</v>
      </c>
      <c r="D134" s="21" t="s">
        <v>553</v>
      </c>
      <c r="E134" s="23" t="s">
        <v>554</v>
      </c>
      <c r="F134" s="23" t="s">
        <v>289</v>
      </c>
      <c r="G134" s="24" t="s">
        <v>555</v>
      </c>
      <c r="H134" s="25" t="n">
        <v>26.4</v>
      </c>
      <c r="I134" s="26" t="s">
        <v>40</v>
      </c>
      <c r="J134" s="27"/>
      <c r="K134" s="26" t="s">
        <v>38</v>
      </c>
      <c r="L134" s="27" t="s">
        <v>125</v>
      </c>
      <c r="M134" s="28" t="n">
        <f aca="false">IF($H134="기한없음","",DATE(2000+VALUE(LEFT($H134,2)),VALUE(RIGHT($H134,1))*3+1,1)-1)</f>
        <v>46387</v>
      </c>
      <c r="N134" s="30" t="n">
        <f aca="false">IF($M134="","",$M134-이행현황요약!$B$3)</f>
        <v>181</v>
      </c>
      <c r="O134" s="30" t="str">
        <f aca="false">IF($H134="기한없음","기한없음",IF($N134&lt;0,"기한초과",IF($N134&lt;=34,"긴급",IF($N134&lt;=120,"주의",IF($N134&lt;=240,"관찰","여유")))))</f>
        <v>관찰</v>
      </c>
      <c r="P134" s="30" t="s">
        <v>68</v>
      </c>
    </row>
    <row r="135" customFormat="false" ht="33" hidden="false" customHeight="true" outlineLevel="0" collapsed="false">
      <c r="A135" s="21" t="s">
        <v>60</v>
      </c>
      <c r="B135" s="22" t="s">
        <v>325</v>
      </c>
      <c r="C135" s="21" t="s">
        <v>546</v>
      </c>
      <c r="D135" s="21" t="s">
        <v>556</v>
      </c>
      <c r="E135" s="23" t="s">
        <v>557</v>
      </c>
      <c r="F135" s="23" t="s">
        <v>289</v>
      </c>
      <c r="G135" s="24" t="s">
        <v>558</v>
      </c>
      <c r="H135" s="25" t="n">
        <v>26.4</v>
      </c>
      <c r="I135" s="26" t="s">
        <v>559</v>
      </c>
      <c r="J135" s="27"/>
      <c r="K135" s="27"/>
      <c r="L135" s="27" t="s">
        <v>125</v>
      </c>
      <c r="M135" s="28" t="n">
        <f aca="false">IF($H135="기한없음","",DATE(2000+VALUE(LEFT($H135,2)),VALUE(RIGHT($H135,1))*3+1,1)-1)</f>
        <v>46387</v>
      </c>
      <c r="N135" s="30" t="n">
        <f aca="false">IF($M135="","",$M135-이행현황요약!$B$3)</f>
        <v>181</v>
      </c>
      <c r="O135" s="30" t="str">
        <f aca="false">IF($H135="기한없음","기한없음",IF($N135&lt;0,"기한초과",IF($N135&lt;=34,"긴급",IF($N135&lt;=120,"주의",IF($N135&lt;=240,"관찰","여유")))))</f>
        <v>관찰</v>
      </c>
      <c r="P135" s="30" t="s">
        <v>68</v>
      </c>
    </row>
    <row r="136" customFormat="false" ht="49.5" hidden="false" customHeight="true" outlineLevel="0" collapsed="false">
      <c r="A136" s="21" t="s">
        <v>560</v>
      </c>
      <c r="B136" s="22" t="s">
        <v>325</v>
      </c>
      <c r="C136" s="21" t="s">
        <v>561</v>
      </c>
      <c r="D136" s="21" t="s">
        <v>562</v>
      </c>
      <c r="E136" s="23" t="s">
        <v>563</v>
      </c>
      <c r="F136" s="23" t="s">
        <v>289</v>
      </c>
      <c r="G136" s="24" t="s">
        <v>564</v>
      </c>
      <c r="H136" s="25" t="n">
        <v>26.1</v>
      </c>
      <c r="I136" s="26" t="s">
        <v>40</v>
      </c>
      <c r="J136" s="27"/>
      <c r="K136" s="26" t="s">
        <v>559</v>
      </c>
      <c r="L136" s="27" t="s">
        <v>125</v>
      </c>
      <c r="M136" s="28" t="n">
        <f aca="false">IF($H136="기한없음","",DATE(2000+VALUE(LEFT($H136,2)),VALUE(RIGHT($H136,1))*3+1,1)-1)</f>
        <v>46112</v>
      </c>
      <c r="N136" s="30" t="n">
        <f aca="false">IF($M136="","",$M136-이행현황요약!$B$3)</f>
        <v>-94</v>
      </c>
      <c r="O136" s="30" t="str">
        <f aca="false">IF($H136="기한없음","기한없음",IF($N136&lt;0,"기한초과",IF($N136&lt;=34,"긴급",IF($N136&lt;=120,"주의",IF($N136&lt;=240,"관찰","여유")))))</f>
        <v>기한초과</v>
      </c>
      <c r="P136" s="30" t="s">
        <v>68</v>
      </c>
    </row>
    <row r="137" customFormat="false" ht="49.5" hidden="false" customHeight="true" outlineLevel="0" collapsed="false">
      <c r="A137" s="21" t="s">
        <v>560</v>
      </c>
      <c r="B137" s="22" t="s">
        <v>325</v>
      </c>
      <c r="C137" s="21" t="s">
        <v>561</v>
      </c>
      <c r="D137" s="21" t="s">
        <v>565</v>
      </c>
      <c r="E137" s="23" t="s">
        <v>566</v>
      </c>
      <c r="F137" s="23" t="s">
        <v>289</v>
      </c>
      <c r="G137" s="31" t="s">
        <v>567</v>
      </c>
      <c r="H137" s="25" t="n">
        <v>26.2</v>
      </c>
      <c r="I137" s="26" t="s">
        <v>34</v>
      </c>
      <c r="J137" s="27"/>
      <c r="K137" s="26" t="s">
        <v>40</v>
      </c>
      <c r="L137" s="27" t="s">
        <v>125</v>
      </c>
      <c r="M137" s="28" t="n">
        <f aca="false">IF($H137="기한없음","",DATE(2000+VALUE(LEFT($H137,2)),VALUE(RIGHT($H137,1))*3+1,1)-1)</f>
        <v>46203</v>
      </c>
      <c r="N137" s="30" t="n">
        <f aca="false">IF($M137="","",$M137-이행현황요약!$B$3)</f>
        <v>-3</v>
      </c>
      <c r="O137" s="30" t="str">
        <f aca="false">IF($H137="기한없음","기한없음",IF($N137&lt;0,"기한초과",IF($N137&lt;=34,"긴급",IF($N137&lt;=120,"주의",IF($N137&lt;=240,"관찰","여유")))))</f>
        <v>기한초과</v>
      </c>
      <c r="P137" s="30" t="s">
        <v>68</v>
      </c>
    </row>
    <row r="138" customFormat="false" ht="33" hidden="false" customHeight="true" outlineLevel="0" collapsed="false">
      <c r="A138" s="21" t="s">
        <v>560</v>
      </c>
      <c r="B138" s="22" t="s">
        <v>325</v>
      </c>
      <c r="C138" s="21" t="s">
        <v>561</v>
      </c>
      <c r="D138" s="21" t="s">
        <v>568</v>
      </c>
      <c r="E138" s="23" t="s">
        <v>569</v>
      </c>
      <c r="F138" s="23" t="s">
        <v>289</v>
      </c>
      <c r="G138" s="24" t="s">
        <v>570</v>
      </c>
      <c r="H138" s="25" t="n">
        <v>26.4</v>
      </c>
      <c r="I138" s="26" t="s">
        <v>38</v>
      </c>
      <c r="J138" s="27"/>
      <c r="K138" s="27"/>
      <c r="L138" s="27" t="s">
        <v>125</v>
      </c>
      <c r="M138" s="28" t="n">
        <f aca="false">IF($H138="기한없음","",DATE(2000+VALUE(LEFT($H138,2)),VALUE(RIGHT($H138,1))*3+1,1)-1)</f>
        <v>46387</v>
      </c>
      <c r="N138" s="30" t="n">
        <f aca="false">IF($M138="","",$M138-이행현황요약!$B$3)</f>
        <v>181</v>
      </c>
      <c r="O138" s="30" t="str">
        <f aca="false">IF($H138="기한없음","기한없음",IF($N138&lt;0,"기한초과",IF($N138&lt;=34,"긴급",IF($N138&lt;=120,"주의",IF($N138&lt;=240,"관찰","여유")))))</f>
        <v>관찰</v>
      </c>
      <c r="P138" s="30" t="s">
        <v>68</v>
      </c>
    </row>
    <row r="139" customFormat="false" ht="33" hidden="false" customHeight="true" outlineLevel="0" collapsed="false">
      <c r="A139" s="21" t="s">
        <v>560</v>
      </c>
      <c r="B139" s="22" t="s">
        <v>325</v>
      </c>
      <c r="C139" s="21" t="s">
        <v>561</v>
      </c>
      <c r="D139" s="21" t="s">
        <v>571</v>
      </c>
      <c r="E139" s="23" t="s">
        <v>572</v>
      </c>
      <c r="F139" s="23" t="s">
        <v>289</v>
      </c>
      <c r="G139" s="31" t="s">
        <v>573</v>
      </c>
      <c r="H139" s="25" t="n">
        <v>26.4</v>
      </c>
      <c r="I139" s="26" t="s">
        <v>40</v>
      </c>
      <c r="J139" s="27"/>
      <c r="K139" s="26" t="s">
        <v>169</v>
      </c>
      <c r="L139" s="27" t="s">
        <v>125</v>
      </c>
      <c r="M139" s="28" t="n">
        <f aca="false">IF($H139="기한없음","",DATE(2000+VALUE(LEFT($H139,2)),VALUE(RIGHT($H139,1))*3+1,1)-1)</f>
        <v>46387</v>
      </c>
      <c r="N139" s="30" t="n">
        <f aca="false">IF($M139="","",$M139-이행현황요약!$B$3)</f>
        <v>181</v>
      </c>
      <c r="O139" s="30" t="str">
        <f aca="false">IF($H139="기한없음","기한없음",IF($N139&lt;0,"기한초과",IF($N139&lt;=34,"긴급",IF($N139&lt;=120,"주의",IF($N139&lt;=240,"관찰","여유")))))</f>
        <v>관찰</v>
      </c>
      <c r="P139" s="30" t="s">
        <v>68</v>
      </c>
    </row>
    <row r="140" customFormat="false" ht="66" hidden="false" customHeight="true" outlineLevel="0" collapsed="false">
      <c r="A140" s="21" t="s">
        <v>560</v>
      </c>
      <c r="B140" s="22" t="s">
        <v>574</v>
      </c>
      <c r="C140" s="21" t="s">
        <v>575</v>
      </c>
      <c r="D140" s="21" t="s">
        <v>576</v>
      </c>
      <c r="E140" s="23" t="s">
        <v>577</v>
      </c>
      <c r="F140" s="23" t="s">
        <v>578</v>
      </c>
      <c r="G140" s="31" t="s">
        <v>579</v>
      </c>
      <c r="H140" s="25" t="n">
        <v>26.3</v>
      </c>
      <c r="I140" s="26" t="s">
        <v>580</v>
      </c>
      <c r="J140" s="27" t="s">
        <v>94</v>
      </c>
      <c r="K140" s="26" t="s">
        <v>388</v>
      </c>
      <c r="L140" s="26" t="s">
        <v>581</v>
      </c>
      <c r="M140" s="28" t="n">
        <f aca="false">IF($H140="기한없음","",DATE(2000+VALUE(LEFT($H140,2)),VALUE(RIGHT($H140,1))*3+1,1)-1)</f>
        <v>46295</v>
      </c>
      <c r="N140" s="30" t="n">
        <f aca="false">IF($M140="","",$M140-이행현황요약!$B$3)</f>
        <v>89</v>
      </c>
      <c r="O140" s="30" t="str">
        <f aca="false">IF($H140="기한없음","기한없음",IF($N140&lt;0,"기한초과",IF($N140&lt;=34,"긴급",IF($N140&lt;=120,"주의",IF($N140&lt;=240,"관찰","여유")))))</f>
        <v>주의</v>
      </c>
      <c r="P140" s="30" t="s">
        <v>68</v>
      </c>
    </row>
    <row r="141" customFormat="false" ht="33" hidden="false" customHeight="true" outlineLevel="0" collapsed="false">
      <c r="A141" s="21" t="s">
        <v>560</v>
      </c>
      <c r="B141" s="22" t="s">
        <v>574</v>
      </c>
      <c r="C141" s="21" t="s">
        <v>575</v>
      </c>
      <c r="D141" s="21" t="s">
        <v>582</v>
      </c>
      <c r="E141" s="23" t="s">
        <v>583</v>
      </c>
      <c r="F141" s="23" t="s">
        <v>578</v>
      </c>
      <c r="G141" s="31" t="s">
        <v>584</v>
      </c>
      <c r="H141" s="25" t="n">
        <v>26.2</v>
      </c>
      <c r="I141" s="26" t="s">
        <v>241</v>
      </c>
      <c r="J141" s="27"/>
      <c r="K141" s="26" t="s">
        <v>585</v>
      </c>
      <c r="L141" s="26" t="s">
        <v>581</v>
      </c>
      <c r="M141" s="28" t="n">
        <f aca="false">IF($H141="기한없음","",DATE(2000+VALUE(LEFT($H141,2)),VALUE(RIGHT($H141,1))*3+1,1)-1)</f>
        <v>46203</v>
      </c>
      <c r="N141" s="30" t="n">
        <f aca="false">IF($M141="","",$M141-이행현황요약!$B$3)</f>
        <v>-3</v>
      </c>
      <c r="O141" s="30" t="str">
        <f aca="false">IF($H141="기한없음","기한없음",IF($N141&lt;0,"기한초과",IF($N141&lt;=34,"긴급",IF($N141&lt;=120,"주의",IF($N141&lt;=240,"관찰","여유")))))</f>
        <v>기한초과</v>
      </c>
      <c r="P141" s="30" t="s">
        <v>68</v>
      </c>
    </row>
    <row r="142" customFormat="false" ht="49.5" hidden="false" customHeight="true" outlineLevel="0" collapsed="false">
      <c r="A142" s="21" t="s">
        <v>560</v>
      </c>
      <c r="B142" s="22" t="s">
        <v>574</v>
      </c>
      <c r="C142" s="21" t="s">
        <v>575</v>
      </c>
      <c r="D142" s="21" t="s">
        <v>586</v>
      </c>
      <c r="E142" s="23" t="s">
        <v>587</v>
      </c>
      <c r="F142" s="23" t="s">
        <v>578</v>
      </c>
      <c r="G142" s="31" t="s">
        <v>588</v>
      </c>
      <c r="H142" s="25" t="n">
        <v>26.4</v>
      </c>
      <c r="I142" s="26" t="s">
        <v>308</v>
      </c>
      <c r="J142" s="27" t="s">
        <v>94</v>
      </c>
      <c r="K142" s="26" t="s">
        <v>241</v>
      </c>
      <c r="L142" s="26" t="s">
        <v>581</v>
      </c>
      <c r="M142" s="28" t="n">
        <f aca="false">IF($H142="기한없음","",DATE(2000+VALUE(LEFT($H142,2)),VALUE(RIGHT($H142,1))*3+1,1)-1)</f>
        <v>46387</v>
      </c>
      <c r="N142" s="30" t="n">
        <f aca="false">IF($M142="","",$M142-이행현황요약!$B$3)</f>
        <v>181</v>
      </c>
      <c r="O142" s="30" t="str">
        <f aca="false">IF($H142="기한없음","기한없음",IF($N142&lt;0,"기한초과",IF($N142&lt;=34,"긴급",IF($N142&lt;=120,"주의",IF($N142&lt;=240,"관찰","여유")))))</f>
        <v>관찰</v>
      </c>
      <c r="P142" s="30" t="s">
        <v>68</v>
      </c>
    </row>
    <row r="143" customFormat="false" ht="33" hidden="false" customHeight="true" outlineLevel="0" collapsed="false">
      <c r="A143" s="21" t="s">
        <v>560</v>
      </c>
      <c r="B143" s="22" t="s">
        <v>574</v>
      </c>
      <c r="C143" s="21" t="s">
        <v>589</v>
      </c>
      <c r="D143" s="21" t="s">
        <v>590</v>
      </c>
      <c r="E143" s="23" t="s">
        <v>591</v>
      </c>
      <c r="F143" s="23" t="s">
        <v>578</v>
      </c>
      <c r="G143" s="24" t="s">
        <v>592</v>
      </c>
      <c r="H143" s="25" t="n">
        <v>26.2</v>
      </c>
      <c r="I143" s="26" t="s">
        <v>34</v>
      </c>
      <c r="J143" s="27"/>
      <c r="K143" s="26" t="s">
        <v>593</v>
      </c>
      <c r="L143" s="26" t="s">
        <v>581</v>
      </c>
      <c r="M143" s="28" t="n">
        <f aca="false">IF($H143="기한없음","",DATE(2000+VALUE(LEFT($H143,2)),VALUE(RIGHT($H143,1))*3+1,1)-1)</f>
        <v>46203</v>
      </c>
      <c r="N143" s="30" t="n">
        <f aca="false">IF($M143="","",$M143-이행현황요약!$B$3)</f>
        <v>-3</v>
      </c>
      <c r="O143" s="30" t="str">
        <f aca="false">IF($H143="기한없음","기한없음",IF($N143&lt;0,"기한초과",IF($N143&lt;=34,"긴급",IF($N143&lt;=120,"주의",IF($N143&lt;=240,"관찰","여유")))))</f>
        <v>기한초과</v>
      </c>
      <c r="P143" s="30" t="s">
        <v>68</v>
      </c>
    </row>
    <row r="144" customFormat="false" ht="66" hidden="false" customHeight="true" outlineLevel="0" collapsed="false">
      <c r="A144" s="21" t="s">
        <v>560</v>
      </c>
      <c r="B144" s="22" t="s">
        <v>574</v>
      </c>
      <c r="C144" s="21" t="s">
        <v>589</v>
      </c>
      <c r="D144" s="21" t="s">
        <v>594</v>
      </c>
      <c r="E144" s="23" t="s">
        <v>595</v>
      </c>
      <c r="F144" s="23" t="s">
        <v>578</v>
      </c>
      <c r="G144" s="31" t="s">
        <v>596</v>
      </c>
      <c r="H144" s="25" t="n">
        <v>26.2</v>
      </c>
      <c r="I144" s="26" t="s">
        <v>34</v>
      </c>
      <c r="J144" s="27"/>
      <c r="K144" s="26" t="s">
        <v>597</v>
      </c>
      <c r="L144" s="26" t="s">
        <v>581</v>
      </c>
      <c r="M144" s="28" t="n">
        <f aca="false">IF($H144="기한없음","",DATE(2000+VALUE(LEFT($H144,2)),VALUE(RIGHT($H144,1))*3+1,1)-1)</f>
        <v>46203</v>
      </c>
      <c r="N144" s="30" t="n">
        <f aca="false">IF($M144="","",$M144-이행현황요약!$B$3)</f>
        <v>-3</v>
      </c>
      <c r="O144" s="30" t="str">
        <f aca="false">IF($H144="기한없음","기한없음",IF($N144&lt;0,"기한초과",IF($N144&lt;=34,"긴급",IF($N144&lt;=120,"주의",IF($N144&lt;=240,"관찰","여유")))))</f>
        <v>기한초과</v>
      </c>
      <c r="P144" s="30" t="s">
        <v>68</v>
      </c>
    </row>
    <row r="145" customFormat="false" ht="49.5" hidden="false" customHeight="true" outlineLevel="0" collapsed="false">
      <c r="A145" s="21" t="s">
        <v>560</v>
      </c>
      <c r="B145" s="22" t="s">
        <v>574</v>
      </c>
      <c r="C145" s="21" t="s">
        <v>589</v>
      </c>
      <c r="D145" s="21" t="s">
        <v>598</v>
      </c>
      <c r="E145" s="23" t="s">
        <v>599</v>
      </c>
      <c r="F145" s="23" t="s">
        <v>578</v>
      </c>
      <c r="G145" s="24" t="s">
        <v>600</v>
      </c>
      <c r="H145" s="25" t="n">
        <v>26.4</v>
      </c>
      <c r="I145" s="26" t="s">
        <v>241</v>
      </c>
      <c r="J145" s="27"/>
      <c r="K145" s="26" t="s">
        <v>601</v>
      </c>
      <c r="L145" s="26" t="s">
        <v>581</v>
      </c>
      <c r="M145" s="28" t="n">
        <f aca="false">IF($H145="기한없음","",DATE(2000+VALUE(LEFT($H145,2)),VALUE(RIGHT($H145,1))*3+1,1)-1)</f>
        <v>46387</v>
      </c>
      <c r="N145" s="30" t="n">
        <f aca="false">IF($M145="","",$M145-이행현황요약!$B$3)</f>
        <v>181</v>
      </c>
      <c r="O145" s="30" t="str">
        <f aca="false">IF($H145="기한없음","기한없음",IF($N145&lt;0,"기한초과",IF($N145&lt;=34,"긴급",IF($N145&lt;=120,"주의",IF($N145&lt;=240,"관찰","여유")))))</f>
        <v>관찰</v>
      </c>
      <c r="P145" s="30" t="s">
        <v>68</v>
      </c>
    </row>
    <row r="146" customFormat="false" ht="49.5" hidden="false" customHeight="true" outlineLevel="0" collapsed="false">
      <c r="A146" s="21" t="s">
        <v>560</v>
      </c>
      <c r="B146" s="22" t="s">
        <v>574</v>
      </c>
      <c r="C146" s="21" t="s">
        <v>589</v>
      </c>
      <c r="D146" s="21" t="s">
        <v>602</v>
      </c>
      <c r="E146" s="21" t="s">
        <v>603</v>
      </c>
      <c r="F146" s="23" t="s">
        <v>578</v>
      </c>
      <c r="G146" s="24" t="s">
        <v>604</v>
      </c>
      <c r="H146" s="25" t="n">
        <v>26.4</v>
      </c>
      <c r="I146" s="26" t="s">
        <v>38</v>
      </c>
      <c r="J146" s="27"/>
      <c r="K146" s="26" t="s">
        <v>388</v>
      </c>
      <c r="L146" s="26" t="s">
        <v>581</v>
      </c>
      <c r="M146" s="28" t="n">
        <f aca="false">IF($H146="기한없음","",DATE(2000+VALUE(LEFT($H146,2)),VALUE(RIGHT($H146,1))*3+1,1)-1)</f>
        <v>46387</v>
      </c>
      <c r="N146" s="30" t="n">
        <f aca="false">IF($M146="","",$M146-이행현황요약!$B$3)</f>
        <v>181</v>
      </c>
      <c r="O146" s="30" t="str">
        <f aca="false">IF($H146="기한없음","기한없음",IF($N146&lt;0,"기한초과",IF($N146&lt;=34,"긴급",IF($N146&lt;=120,"주의",IF($N146&lt;=240,"관찰","여유")))))</f>
        <v>관찰</v>
      </c>
      <c r="P146" s="30" t="s">
        <v>68</v>
      </c>
    </row>
    <row r="147" customFormat="false" ht="49.5" hidden="false" customHeight="true" outlineLevel="0" collapsed="false">
      <c r="A147" s="21" t="s">
        <v>560</v>
      </c>
      <c r="B147" s="22" t="s">
        <v>574</v>
      </c>
      <c r="C147" s="21" t="s">
        <v>589</v>
      </c>
      <c r="D147" s="21" t="s">
        <v>605</v>
      </c>
      <c r="E147" s="23" t="s">
        <v>606</v>
      </c>
      <c r="F147" s="23" t="s">
        <v>578</v>
      </c>
      <c r="G147" s="31" t="s">
        <v>607</v>
      </c>
      <c r="H147" s="25" t="n">
        <v>26.2</v>
      </c>
      <c r="I147" s="26" t="s">
        <v>241</v>
      </c>
      <c r="J147" s="27"/>
      <c r="K147" s="26" t="s">
        <v>608</v>
      </c>
      <c r="L147" s="26" t="s">
        <v>581</v>
      </c>
      <c r="M147" s="28" t="n">
        <f aca="false">IF($H147="기한없음","",DATE(2000+VALUE(LEFT($H147,2)),VALUE(RIGHT($H147,1))*3+1,1)-1)</f>
        <v>46203</v>
      </c>
      <c r="N147" s="30" t="n">
        <f aca="false">IF($M147="","",$M147-이행현황요약!$B$3)</f>
        <v>-3</v>
      </c>
      <c r="O147" s="30" t="str">
        <f aca="false">IF($H147="기한없음","기한없음",IF($N147&lt;0,"기한초과",IF($N147&lt;=34,"긴급",IF($N147&lt;=120,"주의",IF($N147&lt;=240,"관찰","여유")))))</f>
        <v>기한초과</v>
      </c>
      <c r="P147" s="30" t="s">
        <v>68</v>
      </c>
    </row>
    <row r="148" customFormat="false" ht="66" hidden="false" customHeight="true" outlineLevel="0" collapsed="false">
      <c r="A148" s="21" t="s">
        <v>560</v>
      </c>
      <c r="B148" s="22" t="s">
        <v>574</v>
      </c>
      <c r="C148" s="21" t="s">
        <v>609</v>
      </c>
      <c r="D148" s="21" t="s">
        <v>610</v>
      </c>
      <c r="E148" s="23" t="s">
        <v>611</v>
      </c>
      <c r="F148" s="23" t="s">
        <v>578</v>
      </c>
      <c r="G148" s="31" t="s">
        <v>612</v>
      </c>
      <c r="H148" s="25" t="n">
        <v>26.4</v>
      </c>
      <c r="I148" s="26" t="s">
        <v>34</v>
      </c>
      <c r="J148" s="27"/>
      <c r="K148" s="27"/>
      <c r="L148" s="26" t="s">
        <v>581</v>
      </c>
      <c r="M148" s="28" t="n">
        <f aca="false">IF($H148="기한없음","",DATE(2000+VALUE(LEFT($H148,2)),VALUE(RIGHT($H148,1))*3+1,1)-1)</f>
        <v>46387</v>
      </c>
      <c r="N148" s="30" t="n">
        <f aca="false">IF($M148="","",$M148-이행현황요약!$B$3)</f>
        <v>181</v>
      </c>
      <c r="O148" s="30" t="str">
        <f aca="false">IF($H148="기한없음","기한없음",IF($N148&lt;0,"기한초과",IF($N148&lt;=34,"긴급",IF($N148&lt;=120,"주의",IF($N148&lt;=240,"관찰","여유")))))</f>
        <v>관찰</v>
      </c>
      <c r="P148" s="30" t="s">
        <v>68</v>
      </c>
    </row>
    <row r="149" customFormat="false" ht="49.5" hidden="false" customHeight="true" outlineLevel="0" collapsed="false">
      <c r="A149" s="21" t="s">
        <v>560</v>
      </c>
      <c r="B149" s="22" t="s">
        <v>574</v>
      </c>
      <c r="C149" s="21" t="s">
        <v>609</v>
      </c>
      <c r="D149" s="21" t="s">
        <v>613</v>
      </c>
      <c r="E149" s="21" t="s">
        <v>614</v>
      </c>
      <c r="F149" s="23" t="s">
        <v>578</v>
      </c>
      <c r="G149" s="31" t="s">
        <v>615</v>
      </c>
      <c r="H149" s="25" t="n">
        <v>26.4</v>
      </c>
      <c r="I149" s="26" t="s">
        <v>241</v>
      </c>
      <c r="J149" s="27"/>
      <c r="K149" s="27"/>
      <c r="L149" s="26" t="s">
        <v>581</v>
      </c>
      <c r="M149" s="28" t="n">
        <f aca="false">IF($H149="기한없음","",DATE(2000+VALUE(LEFT($H149,2)),VALUE(RIGHT($H149,1))*3+1,1)-1)</f>
        <v>46387</v>
      </c>
      <c r="N149" s="30" t="n">
        <f aca="false">IF($M149="","",$M149-이행현황요약!$B$3)</f>
        <v>181</v>
      </c>
      <c r="O149" s="30" t="str">
        <f aca="false">IF($H149="기한없음","기한없음",IF($N149&lt;0,"기한초과",IF($N149&lt;=34,"긴급",IF($N149&lt;=120,"주의",IF($N149&lt;=240,"관찰","여유")))))</f>
        <v>관찰</v>
      </c>
      <c r="P149" s="30" t="s">
        <v>68</v>
      </c>
    </row>
    <row r="150" customFormat="false" ht="33" hidden="false" customHeight="true" outlineLevel="0" collapsed="false">
      <c r="A150" s="21" t="s">
        <v>560</v>
      </c>
      <c r="B150" s="22" t="s">
        <v>616</v>
      </c>
      <c r="C150" s="21" t="s">
        <v>617</v>
      </c>
      <c r="D150" s="21" t="s">
        <v>618</v>
      </c>
      <c r="E150" s="23" t="s">
        <v>619</v>
      </c>
      <c r="F150" s="23" t="s">
        <v>65</v>
      </c>
      <c r="G150" s="24" t="s">
        <v>620</v>
      </c>
      <c r="H150" s="25" t="n">
        <v>26.1</v>
      </c>
      <c r="I150" s="26" t="s">
        <v>308</v>
      </c>
      <c r="J150" s="27" t="s">
        <v>94</v>
      </c>
      <c r="K150" s="27"/>
      <c r="L150" s="27" t="s">
        <v>67</v>
      </c>
      <c r="M150" s="28" t="n">
        <f aca="false">IF($H150="기한없음","",DATE(2000+VALUE(LEFT($H150,2)),VALUE(RIGHT($H150,1))*3+1,1)-1)</f>
        <v>46112</v>
      </c>
      <c r="N150" s="30" t="n">
        <f aca="false">IF($M150="","",$M150-이행현황요약!$B$3)</f>
        <v>-94</v>
      </c>
      <c r="O150" s="30" t="str">
        <f aca="false">IF($H150="기한없음","기한없음",IF($N150&lt;0,"기한초과",IF($N150&lt;=34,"긴급",IF($N150&lt;=120,"주의",IF($N150&lt;=240,"관찰","여유")))))</f>
        <v>기한초과</v>
      </c>
      <c r="P150" s="30" t="s">
        <v>68</v>
      </c>
    </row>
    <row r="151" customFormat="false" ht="33" hidden="false" customHeight="true" outlineLevel="0" collapsed="false">
      <c r="A151" s="21" t="s">
        <v>560</v>
      </c>
      <c r="B151" s="22" t="s">
        <v>616</v>
      </c>
      <c r="C151" s="21" t="s">
        <v>617</v>
      </c>
      <c r="D151" s="21" t="s">
        <v>621</v>
      </c>
      <c r="E151" s="23" t="s">
        <v>622</v>
      </c>
      <c r="F151" s="23" t="s">
        <v>65</v>
      </c>
      <c r="G151" s="24" t="s">
        <v>623</v>
      </c>
      <c r="H151" s="25" t="n">
        <v>26.1</v>
      </c>
      <c r="I151" s="26" t="s">
        <v>38</v>
      </c>
      <c r="J151" s="27"/>
      <c r="K151" s="27"/>
      <c r="L151" s="27" t="s">
        <v>67</v>
      </c>
      <c r="M151" s="28" t="n">
        <f aca="false">IF($H151="기한없음","",DATE(2000+VALUE(LEFT($H151,2)),VALUE(RIGHT($H151,1))*3+1,1)-1)</f>
        <v>46112</v>
      </c>
      <c r="N151" s="30" t="n">
        <f aca="false">IF($M151="","",$M151-이행현황요약!$B$3)</f>
        <v>-94</v>
      </c>
      <c r="O151" s="30" t="str">
        <f aca="false">IF($H151="기한없음","기한없음",IF($N151&lt;0,"기한초과",IF($N151&lt;=34,"긴급",IF($N151&lt;=120,"주의",IF($N151&lt;=240,"관찰","여유")))))</f>
        <v>기한초과</v>
      </c>
      <c r="P151" s="30" t="s">
        <v>68</v>
      </c>
    </row>
    <row r="152" customFormat="false" ht="33" hidden="false" customHeight="true" outlineLevel="0" collapsed="false">
      <c r="A152" s="21" t="s">
        <v>560</v>
      </c>
      <c r="B152" s="22" t="s">
        <v>616</v>
      </c>
      <c r="C152" s="21" t="s">
        <v>624</v>
      </c>
      <c r="D152" s="21" t="s">
        <v>625</v>
      </c>
      <c r="E152" s="23" t="s">
        <v>626</v>
      </c>
      <c r="F152" s="23" t="s">
        <v>65</v>
      </c>
      <c r="G152" s="24" t="s">
        <v>627</v>
      </c>
      <c r="H152" s="25" t="n">
        <v>26.2</v>
      </c>
      <c r="I152" s="26" t="s">
        <v>34</v>
      </c>
      <c r="J152" s="27"/>
      <c r="K152" s="26" t="s">
        <v>201</v>
      </c>
      <c r="L152" s="27" t="s">
        <v>67</v>
      </c>
      <c r="M152" s="28" t="n">
        <f aca="false">IF($H152="기한없음","",DATE(2000+VALUE(LEFT($H152,2)),VALUE(RIGHT($H152,1))*3+1,1)-1)</f>
        <v>46203</v>
      </c>
      <c r="N152" s="30" t="n">
        <f aca="false">IF($M152="","",$M152-이행현황요약!$B$3)</f>
        <v>-3</v>
      </c>
      <c r="O152" s="30" t="str">
        <f aca="false">IF($H152="기한없음","기한없음",IF($N152&lt;0,"기한초과",IF($N152&lt;=34,"긴급",IF($N152&lt;=120,"주의",IF($N152&lt;=240,"관찰","여유")))))</f>
        <v>기한초과</v>
      </c>
      <c r="P152" s="30" t="s">
        <v>68</v>
      </c>
    </row>
    <row r="153" customFormat="false" ht="49.5" hidden="false" customHeight="true" outlineLevel="0" collapsed="false">
      <c r="A153" s="21" t="s">
        <v>560</v>
      </c>
      <c r="B153" s="22" t="s">
        <v>616</v>
      </c>
      <c r="C153" s="21" t="s">
        <v>628</v>
      </c>
      <c r="D153" s="21" t="s">
        <v>629</v>
      </c>
      <c r="E153" s="23" t="s">
        <v>630</v>
      </c>
      <c r="F153" s="23" t="s">
        <v>138</v>
      </c>
      <c r="G153" s="24" t="s">
        <v>631</v>
      </c>
      <c r="H153" s="25" t="n">
        <v>26.1</v>
      </c>
      <c r="I153" s="26" t="s">
        <v>34</v>
      </c>
      <c r="J153" s="27"/>
      <c r="K153" s="27"/>
      <c r="L153" s="27" t="s">
        <v>125</v>
      </c>
      <c r="M153" s="28" t="n">
        <f aca="false">IF($H153="기한없음","",DATE(2000+VALUE(LEFT($H153,2)),VALUE(RIGHT($H153,1))*3+1,1)-1)</f>
        <v>46112</v>
      </c>
      <c r="N153" s="30" t="n">
        <f aca="false">IF($M153="","",$M153-이행현황요약!$B$3)</f>
        <v>-94</v>
      </c>
      <c r="O153" s="30" t="str">
        <f aca="false">IF($H153="기한없음","기한없음",IF($N153&lt;0,"기한초과",IF($N153&lt;=34,"긴급",IF($N153&lt;=120,"주의",IF($N153&lt;=240,"관찰","여유")))))</f>
        <v>기한초과</v>
      </c>
      <c r="P153" s="30" t="s">
        <v>68</v>
      </c>
    </row>
    <row r="154" customFormat="false" ht="49.5" hidden="false" customHeight="true" outlineLevel="0" collapsed="false">
      <c r="A154" s="21" t="s">
        <v>560</v>
      </c>
      <c r="B154" s="22" t="s">
        <v>616</v>
      </c>
      <c r="C154" s="21" t="s">
        <v>628</v>
      </c>
      <c r="D154" s="21" t="s">
        <v>632</v>
      </c>
      <c r="E154" s="23" t="s">
        <v>633</v>
      </c>
      <c r="F154" s="23" t="s">
        <v>138</v>
      </c>
      <c r="G154" s="24" t="s">
        <v>634</v>
      </c>
      <c r="H154" s="25" t="n">
        <v>26.1</v>
      </c>
      <c r="I154" s="26" t="s">
        <v>34</v>
      </c>
      <c r="J154" s="27"/>
      <c r="K154" s="27"/>
      <c r="L154" s="27" t="s">
        <v>125</v>
      </c>
      <c r="M154" s="28" t="n">
        <f aca="false">IF($H154="기한없음","",DATE(2000+VALUE(LEFT($H154,2)),VALUE(RIGHT($H154,1))*3+1,1)-1)</f>
        <v>46112</v>
      </c>
      <c r="N154" s="30" t="n">
        <f aca="false">IF($M154="","",$M154-이행현황요약!$B$3)</f>
        <v>-94</v>
      </c>
      <c r="O154" s="30" t="str">
        <f aca="false">IF($H154="기한없음","기한없음",IF($N154&lt;0,"기한초과",IF($N154&lt;=34,"긴급",IF($N154&lt;=120,"주의",IF($N154&lt;=240,"관찰","여유")))))</f>
        <v>기한초과</v>
      </c>
      <c r="P154" s="30" t="s">
        <v>68</v>
      </c>
    </row>
    <row r="155" customFormat="false" ht="66" hidden="false" customHeight="true" outlineLevel="0" collapsed="false">
      <c r="A155" s="21" t="s">
        <v>560</v>
      </c>
      <c r="B155" s="22" t="s">
        <v>616</v>
      </c>
      <c r="C155" s="21" t="s">
        <v>628</v>
      </c>
      <c r="D155" s="21" t="s">
        <v>635</v>
      </c>
      <c r="E155" s="21" t="s">
        <v>636</v>
      </c>
      <c r="F155" s="23" t="s">
        <v>138</v>
      </c>
      <c r="G155" s="24" t="s">
        <v>637</v>
      </c>
      <c r="H155" s="25" t="n">
        <v>26.1</v>
      </c>
      <c r="I155" s="26" t="s">
        <v>34</v>
      </c>
      <c r="J155" s="27"/>
      <c r="K155" s="27"/>
      <c r="L155" s="27" t="s">
        <v>125</v>
      </c>
      <c r="M155" s="28" t="n">
        <f aca="false">IF($H155="기한없음","",DATE(2000+VALUE(LEFT($H155,2)),VALUE(RIGHT($H155,1))*3+1,1)-1)</f>
        <v>46112</v>
      </c>
      <c r="N155" s="30" t="n">
        <f aca="false">IF($M155="","",$M155-이행현황요약!$B$3)</f>
        <v>-94</v>
      </c>
      <c r="O155" s="30" t="str">
        <f aca="false">IF($H155="기한없음","기한없음",IF($N155&lt;0,"기한초과",IF($N155&lt;=34,"긴급",IF($N155&lt;=120,"주의",IF($N155&lt;=240,"관찰","여유")))))</f>
        <v>기한초과</v>
      </c>
      <c r="P155" s="30" t="s">
        <v>68</v>
      </c>
    </row>
    <row r="156" customFormat="false" ht="66" hidden="false" customHeight="true" outlineLevel="0" collapsed="false">
      <c r="A156" s="21" t="s">
        <v>560</v>
      </c>
      <c r="B156" s="22" t="s">
        <v>616</v>
      </c>
      <c r="C156" s="21" t="s">
        <v>628</v>
      </c>
      <c r="D156" s="21" t="s">
        <v>638</v>
      </c>
      <c r="E156" s="23" t="s">
        <v>639</v>
      </c>
      <c r="F156" s="23" t="s">
        <v>138</v>
      </c>
      <c r="G156" s="24" t="s">
        <v>640</v>
      </c>
      <c r="H156" s="25" t="n">
        <v>27.1</v>
      </c>
      <c r="I156" s="26" t="s">
        <v>34</v>
      </c>
      <c r="J156" s="27"/>
      <c r="K156" s="27"/>
      <c r="L156" s="27" t="s">
        <v>125</v>
      </c>
      <c r="M156" s="28" t="n">
        <f aca="false">IF($H156="기한없음","",DATE(2000+VALUE(LEFT($H156,2)),VALUE(RIGHT($H156,1))*3+1,1)-1)</f>
        <v>46477</v>
      </c>
      <c r="N156" s="30" t="n">
        <f aca="false">IF($M156="","",$M156-이행현황요약!$B$3)</f>
        <v>271</v>
      </c>
      <c r="O156" s="30" t="str">
        <f aca="false">IF($H156="기한없음","기한없음",IF($N156&lt;0,"기한초과",IF($N156&lt;=34,"긴급",IF($N156&lt;=120,"주의",IF($N156&lt;=240,"관찰","여유")))))</f>
        <v>여유</v>
      </c>
      <c r="P156" s="30" t="s">
        <v>68</v>
      </c>
    </row>
    <row r="157" customFormat="false" ht="49.5" hidden="false" customHeight="true" outlineLevel="0" collapsed="false">
      <c r="A157" s="21" t="s">
        <v>560</v>
      </c>
      <c r="B157" s="22" t="s">
        <v>616</v>
      </c>
      <c r="C157" s="21" t="s">
        <v>628</v>
      </c>
      <c r="D157" s="21" t="s">
        <v>641</v>
      </c>
      <c r="E157" s="23" t="s">
        <v>642</v>
      </c>
      <c r="F157" s="23" t="s">
        <v>138</v>
      </c>
      <c r="G157" s="31" t="s">
        <v>643</v>
      </c>
      <c r="H157" s="25" t="n">
        <v>26.1</v>
      </c>
      <c r="I157" s="26" t="s">
        <v>34</v>
      </c>
      <c r="J157" s="27"/>
      <c r="K157" s="27"/>
      <c r="L157" s="27" t="s">
        <v>125</v>
      </c>
      <c r="M157" s="28" t="n">
        <f aca="false">IF($H157="기한없음","",DATE(2000+VALUE(LEFT($H157,2)),VALUE(RIGHT($H157,1))*3+1,1)-1)</f>
        <v>46112</v>
      </c>
      <c r="N157" s="30" t="n">
        <f aca="false">IF($M157="","",$M157-이행현황요약!$B$3)</f>
        <v>-94</v>
      </c>
      <c r="O157" s="30" t="str">
        <f aca="false">IF($H157="기한없음","기한없음",IF($N157&lt;0,"기한초과",IF($N157&lt;=34,"긴급",IF($N157&lt;=120,"주의",IF($N157&lt;=240,"관찰","여유")))))</f>
        <v>기한초과</v>
      </c>
      <c r="P157" s="30" t="s">
        <v>68</v>
      </c>
    </row>
    <row r="158" customFormat="false" ht="49.5" hidden="false" customHeight="true" outlineLevel="0" collapsed="false">
      <c r="A158" s="21" t="s">
        <v>560</v>
      </c>
      <c r="B158" s="22" t="s">
        <v>616</v>
      </c>
      <c r="C158" s="21" t="s">
        <v>628</v>
      </c>
      <c r="D158" s="21" t="s">
        <v>644</v>
      </c>
      <c r="E158" s="21" t="s">
        <v>645</v>
      </c>
      <c r="F158" s="23" t="s">
        <v>138</v>
      </c>
      <c r="G158" s="24" t="s">
        <v>646</v>
      </c>
      <c r="H158" s="25" t="n">
        <v>26.1</v>
      </c>
      <c r="I158" s="26" t="s">
        <v>34</v>
      </c>
      <c r="J158" s="27"/>
      <c r="K158" s="27"/>
      <c r="L158" s="27" t="s">
        <v>125</v>
      </c>
      <c r="M158" s="28" t="n">
        <f aca="false">IF($H158="기한없음","",DATE(2000+VALUE(LEFT($H158,2)),VALUE(RIGHT($H158,1))*3+1,1)-1)</f>
        <v>46112</v>
      </c>
      <c r="N158" s="30" t="n">
        <f aca="false">IF($M158="","",$M158-이행현황요약!$B$3)</f>
        <v>-94</v>
      </c>
      <c r="O158" s="30" t="str">
        <f aca="false">IF($H158="기한없음","기한없음",IF($N158&lt;0,"기한초과",IF($N158&lt;=34,"긴급",IF($N158&lt;=120,"주의",IF($N158&lt;=240,"관찰","여유")))))</f>
        <v>기한초과</v>
      </c>
      <c r="P158" s="30" t="s">
        <v>68</v>
      </c>
    </row>
    <row r="159" customFormat="false" ht="66" hidden="false" customHeight="true" outlineLevel="0" collapsed="false">
      <c r="A159" s="21" t="s">
        <v>560</v>
      </c>
      <c r="B159" s="22" t="s">
        <v>616</v>
      </c>
      <c r="C159" s="21" t="s">
        <v>628</v>
      </c>
      <c r="D159" s="21" t="s">
        <v>647</v>
      </c>
      <c r="E159" s="21" t="s">
        <v>648</v>
      </c>
      <c r="F159" s="23" t="s">
        <v>138</v>
      </c>
      <c r="G159" s="24" t="s">
        <v>649</v>
      </c>
      <c r="H159" s="25" t="n">
        <v>26.1</v>
      </c>
      <c r="I159" s="26" t="s">
        <v>34</v>
      </c>
      <c r="J159" s="27"/>
      <c r="K159" s="27"/>
      <c r="L159" s="27" t="s">
        <v>125</v>
      </c>
      <c r="M159" s="28" t="n">
        <f aca="false">IF($H159="기한없음","",DATE(2000+VALUE(LEFT($H159,2)),VALUE(RIGHT($H159,1))*3+1,1)-1)</f>
        <v>46112</v>
      </c>
      <c r="N159" s="30" t="n">
        <f aca="false">IF($M159="","",$M159-이행현황요약!$B$3)</f>
        <v>-94</v>
      </c>
      <c r="O159" s="30" t="str">
        <f aca="false">IF($H159="기한없음","기한없음",IF($N159&lt;0,"기한초과",IF($N159&lt;=34,"긴급",IF($N159&lt;=120,"주의",IF($N159&lt;=240,"관찰","여유")))))</f>
        <v>기한초과</v>
      </c>
      <c r="P159" s="30" t="s">
        <v>68</v>
      </c>
    </row>
    <row r="160" customFormat="false" ht="33" hidden="false" customHeight="true" outlineLevel="0" collapsed="false">
      <c r="A160" s="21" t="s">
        <v>560</v>
      </c>
      <c r="B160" s="22" t="s">
        <v>616</v>
      </c>
      <c r="C160" s="21" t="s">
        <v>628</v>
      </c>
      <c r="D160" s="21" t="s">
        <v>650</v>
      </c>
      <c r="E160" s="23" t="s">
        <v>651</v>
      </c>
      <c r="F160" s="23" t="s">
        <v>138</v>
      </c>
      <c r="G160" s="31" t="s">
        <v>652</v>
      </c>
      <c r="H160" s="25" t="n">
        <v>26.1</v>
      </c>
      <c r="I160" s="26" t="s">
        <v>34</v>
      </c>
      <c r="J160" s="27"/>
      <c r="K160" s="27"/>
      <c r="L160" s="27" t="s">
        <v>125</v>
      </c>
      <c r="M160" s="28" t="n">
        <f aca="false">IF($H160="기한없음","",DATE(2000+VALUE(LEFT($H160,2)),VALUE(RIGHT($H160,1))*3+1,1)-1)</f>
        <v>46112</v>
      </c>
      <c r="N160" s="30" t="n">
        <f aca="false">IF($M160="","",$M160-이행현황요약!$B$3)</f>
        <v>-94</v>
      </c>
      <c r="O160" s="30" t="str">
        <f aca="false">IF($H160="기한없음","기한없음",IF($N160&lt;0,"기한초과",IF($N160&lt;=34,"긴급",IF($N160&lt;=120,"주의",IF($N160&lt;=240,"관찰","여유")))))</f>
        <v>기한초과</v>
      </c>
      <c r="P160" s="30" t="s">
        <v>68</v>
      </c>
    </row>
    <row r="161" customFormat="false" ht="49.5" hidden="false" customHeight="true" outlineLevel="0" collapsed="false">
      <c r="A161" s="21" t="s">
        <v>560</v>
      </c>
      <c r="B161" s="22" t="s">
        <v>653</v>
      </c>
      <c r="C161" s="21" t="s">
        <v>654</v>
      </c>
      <c r="D161" s="21" t="s">
        <v>655</v>
      </c>
      <c r="E161" s="21" t="s">
        <v>656</v>
      </c>
      <c r="F161" s="23" t="s">
        <v>289</v>
      </c>
      <c r="G161" s="24" t="s">
        <v>657</v>
      </c>
      <c r="H161" s="25" t="n">
        <v>26.1</v>
      </c>
      <c r="I161" s="26" t="s">
        <v>559</v>
      </c>
      <c r="J161" s="27"/>
      <c r="K161" s="26" t="s">
        <v>658</v>
      </c>
      <c r="L161" s="27" t="s">
        <v>125</v>
      </c>
      <c r="M161" s="28" t="n">
        <f aca="false">IF($H161="기한없음","",DATE(2000+VALUE(LEFT($H161,2)),VALUE(RIGHT($H161,1))*3+1,1)-1)</f>
        <v>46112</v>
      </c>
      <c r="N161" s="30" t="n">
        <f aca="false">IF($M161="","",$M161-이행현황요약!$B$3)</f>
        <v>-94</v>
      </c>
      <c r="O161" s="30" t="str">
        <f aca="false">IF($H161="기한없음","기한없음",IF($N161&lt;0,"기한초과",IF($N161&lt;=34,"긴급",IF($N161&lt;=120,"주의",IF($N161&lt;=240,"관찰","여유")))))</f>
        <v>기한초과</v>
      </c>
      <c r="P161" s="30" t="s">
        <v>68</v>
      </c>
    </row>
    <row r="162" customFormat="false" ht="33" hidden="false" customHeight="true" outlineLevel="0" collapsed="false">
      <c r="A162" s="21" t="s">
        <v>560</v>
      </c>
      <c r="B162" s="22" t="s">
        <v>653</v>
      </c>
      <c r="C162" s="21" t="s">
        <v>659</v>
      </c>
      <c r="D162" s="21" t="s">
        <v>660</v>
      </c>
      <c r="E162" s="21" t="s">
        <v>661</v>
      </c>
      <c r="F162" s="23" t="s">
        <v>289</v>
      </c>
      <c r="G162" s="24" t="s">
        <v>662</v>
      </c>
      <c r="H162" s="25" t="n">
        <v>26.1</v>
      </c>
      <c r="I162" s="26" t="s">
        <v>559</v>
      </c>
      <c r="J162" s="27"/>
      <c r="K162" s="27"/>
      <c r="L162" s="27" t="s">
        <v>125</v>
      </c>
      <c r="M162" s="28" t="n">
        <f aca="false">IF($H162="기한없음","",DATE(2000+VALUE(LEFT($H162,2)),VALUE(RIGHT($H162,1))*3+1,1)-1)</f>
        <v>46112</v>
      </c>
      <c r="N162" s="30" t="n">
        <f aca="false">IF($M162="","",$M162-이행현황요약!$B$3)</f>
        <v>-94</v>
      </c>
      <c r="O162" s="30" t="str">
        <f aca="false">IF($H162="기한없음","기한없음",IF($N162&lt;0,"기한초과",IF($N162&lt;=34,"긴급",IF($N162&lt;=120,"주의",IF($N162&lt;=240,"관찰","여유")))))</f>
        <v>기한초과</v>
      </c>
      <c r="P162" s="30" t="s">
        <v>68</v>
      </c>
    </row>
    <row r="163" customFormat="false" ht="99" hidden="false" customHeight="true" outlineLevel="0" collapsed="false">
      <c r="A163" s="21" t="s">
        <v>560</v>
      </c>
      <c r="B163" s="22" t="s">
        <v>653</v>
      </c>
      <c r="C163" s="21" t="s">
        <v>659</v>
      </c>
      <c r="D163" s="21" t="s">
        <v>663</v>
      </c>
      <c r="E163" s="21" t="s">
        <v>664</v>
      </c>
      <c r="F163" s="23" t="s">
        <v>289</v>
      </c>
      <c r="G163" s="24" t="s">
        <v>665</v>
      </c>
      <c r="H163" s="25" t="n">
        <v>26.1</v>
      </c>
      <c r="I163" s="26" t="s">
        <v>559</v>
      </c>
      <c r="J163" s="27"/>
      <c r="K163" s="27"/>
      <c r="L163" s="27" t="s">
        <v>125</v>
      </c>
      <c r="M163" s="28" t="n">
        <f aca="false">IF($H163="기한없음","",DATE(2000+VALUE(LEFT($H163,2)),VALUE(RIGHT($H163,1))*3+1,1)-1)</f>
        <v>46112</v>
      </c>
      <c r="N163" s="30" t="n">
        <f aca="false">IF($M163="","",$M163-이행현황요약!$B$3)</f>
        <v>-94</v>
      </c>
      <c r="O163" s="30" t="str">
        <f aca="false">IF($H163="기한없음","기한없음",IF($N163&lt;0,"기한초과",IF($N163&lt;=34,"긴급",IF($N163&lt;=120,"주의",IF($N163&lt;=240,"관찰","여유")))))</f>
        <v>기한초과</v>
      </c>
      <c r="P163" s="30" t="s">
        <v>68</v>
      </c>
    </row>
    <row r="164" customFormat="false" ht="99" hidden="false" customHeight="true" outlineLevel="0" collapsed="false">
      <c r="A164" s="21" t="s">
        <v>560</v>
      </c>
      <c r="B164" s="22" t="s">
        <v>653</v>
      </c>
      <c r="C164" s="21" t="s">
        <v>659</v>
      </c>
      <c r="D164" s="21" t="s">
        <v>666</v>
      </c>
      <c r="E164" s="23" t="s">
        <v>667</v>
      </c>
      <c r="F164" s="23" t="s">
        <v>289</v>
      </c>
      <c r="G164" s="24" t="s">
        <v>668</v>
      </c>
      <c r="H164" s="25" t="n">
        <v>27.1</v>
      </c>
      <c r="I164" s="26" t="s">
        <v>40</v>
      </c>
      <c r="J164" s="27"/>
      <c r="K164" s="26" t="s">
        <v>559</v>
      </c>
      <c r="L164" s="27" t="s">
        <v>125</v>
      </c>
      <c r="M164" s="28" t="n">
        <f aca="false">IF($H164="기한없음","",DATE(2000+VALUE(LEFT($H164,2)),VALUE(RIGHT($H164,1))*3+1,1)-1)</f>
        <v>46477</v>
      </c>
      <c r="N164" s="30" t="n">
        <f aca="false">IF($M164="","",$M164-이행현황요약!$B$3)</f>
        <v>271</v>
      </c>
      <c r="O164" s="30" t="str">
        <f aca="false">IF($H164="기한없음","기한없음",IF($N164&lt;0,"기한초과",IF($N164&lt;=34,"긴급",IF($N164&lt;=120,"주의",IF($N164&lt;=240,"관찰","여유")))))</f>
        <v>여유</v>
      </c>
      <c r="P164" s="30" t="s">
        <v>68</v>
      </c>
    </row>
    <row r="165" customFormat="false" ht="49.5" hidden="false" customHeight="true" outlineLevel="0" collapsed="false">
      <c r="A165" s="21" t="s">
        <v>560</v>
      </c>
      <c r="B165" s="22" t="s">
        <v>653</v>
      </c>
      <c r="C165" s="21" t="s">
        <v>659</v>
      </c>
      <c r="D165" s="21" t="s">
        <v>669</v>
      </c>
      <c r="E165" s="21" t="s">
        <v>670</v>
      </c>
      <c r="F165" s="23" t="s">
        <v>289</v>
      </c>
      <c r="G165" s="31" t="s">
        <v>671</v>
      </c>
      <c r="H165" s="25" t="n">
        <v>26.2</v>
      </c>
      <c r="I165" s="26" t="s">
        <v>40</v>
      </c>
      <c r="J165" s="27"/>
      <c r="K165" s="27"/>
      <c r="L165" s="27" t="s">
        <v>125</v>
      </c>
      <c r="M165" s="28" t="n">
        <f aca="false">IF($H165="기한없음","",DATE(2000+VALUE(LEFT($H165,2)),VALUE(RIGHT($H165,1))*3+1,1)-1)</f>
        <v>46203</v>
      </c>
      <c r="N165" s="30" t="n">
        <f aca="false">IF($M165="","",$M165-이행현황요약!$B$3)</f>
        <v>-3</v>
      </c>
      <c r="O165" s="30" t="str">
        <f aca="false">IF($H165="기한없음","기한없음",IF($N165&lt;0,"기한초과",IF($N165&lt;=34,"긴급",IF($N165&lt;=120,"주의",IF($N165&lt;=240,"관찰","여유")))))</f>
        <v>기한초과</v>
      </c>
      <c r="P165" s="30" t="s">
        <v>68</v>
      </c>
    </row>
    <row r="166" customFormat="false" ht="49.5" hidden="false" customHeight="true" outlineLevel="0" collapsed="false">
      <c r="A166" s="21" t="s">
        <v>560</v>
      </c>
      <c r="B166" s="22" t="s">
        <v>653</v>
      </c>
      <c r="C166" s="21" t="s">
        <v>659</v>
      </c>
      <c r="D166" s="21" t="s">
        <v>672</v>
      </c>
      <c r="E166" s="21" t="s">
        <v>673</v>
      </c>
      <c r="F166" s="23" t="s">
        <v>289</v>
      </c>
      <c r="G166" s="31" t="s">
        <v>674</v>
      </c>
      <c r="H166" s="25" t="n">
        <v>26.3</v>
      </c>
      <c r="I166" s="26" t="s">
        <v>40</v>
      </c>
      <c r="J166" s="27"/>
      <c r="K166" s="27"/>
      <c r="L166" s="27" t="s">
        <v>125</v>
      </c>
      <c r="M166" s="28" t="n">
        <f aca="false">IF($H166="기한없음","",DATE(2000+VALUE(LEFT($H166,2)),VALUE(RIGHT($H166,1))*3+1,1)-1)</f>
        <v>46295</v>
      </c>
      <c r="N166" s="30" t="n">
        <f aca="false">IF($M166="","",$M166-이행현황요약!$B$3)</f>
        <v>89</v>
      </c>
      <c r="O166" s="30" t="str">
        <f aca="false">IF($H166="기한없음","기한없음",IF($N166&lt;0,"기한초과",IF($N166&lt;=34,"긴급",IF($N166&lt;=120,"주의",IF($N166&lt;=240,"관찰","여유")))))</f>
        <v>주의</v>
      </c>
      <c r="P166" s="30" t="s">
        <v>68</v>
      </c>
    </row>
    <row r="167" customFormat="false" ht="33" hidden="false" customHeight="true" outlineLevel="0" collapsed="false">
      <c r="A167" s="21" t="s">
        <v>560</v>
      </c>
      <c r="B167" s="22" t="s">
        <v>653</v>
      </c>
      <c r="C167" s="21" t="s">
        <v>675</v>
      </c>
      <c r="D167" s="21" t="s">
        <v>676</v>
      </c>
      <c r="E167" s="23" t="s">
        <v>677</v>
      </c>
      <c r="F167" s="23" t="s">
        <v>289</v>
      </c>
      <c r="G167" s="24" t="s">
        <v>678</v>
      </c>
      <c r="H167" s="25" t="n">
        <v>26.1</v>
      </c>
      <c r="I167" s="26" t="s">
        <v>559</v>
      </c>
      <c r="J167" s="27"/>
      <c r="K167" s="26" t="s">
        <v>40</v>
      </c>
      <c r="L167" s="27" t="s">
        <v>125</v>
      </c>
      <c r="M167" s="28" t="n">
        <f aca="false">IF($H167="기한없음","",DATE(2000+VALUE(LEFT($H167,2)),VALUE(RIGHT($H167,1))*3+1,1)-1)</f>
        <v>46112</v>
      </c>
      <c r="N167" s="30" t="n">
        <f aca="false">IF($M167="","",$M167-이행현황요약!$B$3)</f>
        <v>-94</v>
      </c>
      <c r="O167" s="30" t="str">
        <f aca="false">IF($H167="기한없음","기한없음",IF($N167&lt;0,"기한초과",IF($N167&lt;=34,"긴급",IF($N167&lt;=120,"주의",IF($N167&lt;=240,"관찰","여유")))))</f>
        <v>기한초과</v>
      </c>
      <c r="P167" s="30" t="s">
        <v>68</v>
      </c>
    </row>
    <row r="168" customFormat="false" ht="66" hidden="false" customHeight="true" outlineLevel="0" collapsed="false">
      <c r="A168" s="21" t="s">
        <v>560</v>
      </c>
      <c r="B168" s="22" t="s">
        <v>653</v>
      </c>
      <c r="C168" s="21" t="s">
        <v>675</v>
      </c>
      <c r="D168" s="21" t="s">
        <v>679</v>
      </c>
      <c r="E168" s="23" t="s">
        <v>680</v>
      </c>
      <c r="F168" s="23" t="s">
        <v>289</v>
      </c>
      <c r="G168" s="24" t="s">
        <v>681</v>
      </c>
      <c r="H168" s="25" t="n">
        <v>26.2</v>
      </c>
      <c r="I168" s="26" t="s">
        <v>40</v>
      </c>
      <c r="J168" s="27"/>
      <c r="K168" s="26" t="s">
        <v>559</v>
      </c>
      <c r="L168" s="27" t="s">
        <v>125</v>
      </c>
      <c r="M168" s="28" t="n">
        <f aca="false">IF($H168="기한없음","",DATE(2000+VALUE(LEFT($H168,2)),VALUE(RIGHT($H168,1))*3+1,1)-1)</f>
        <v>46203</v>
      </c>
      <c r="N168" s="30" t="n">
        <f aca="false">IF($M168="","",$M168-이행현황요약!$B$3)</f>
        <v>-3</v>
      </c>
      <c r="O168" s="30" t="str">
        <f aca="false">IF($H168="기한없음","기한없음",IF($N168&lt;0,"기한초과",IF($N168&lt;=34,"긴급",IF($N168&lt;=120,"주의",IF($N168&lt;=240,"관찰","여유")))))</f>
        <v>기한초과</v>
      </c>
      <c r="P168" s="30" t="s">
        <v>68</v>
      </c>
    </row>
    <row r="169" customFormat="false" ht="33" hidden="false" customHeight="true" outlineLevel="0" collapsed="false">
      <c r="A169" s="21" t="s">
        <v>560</v>
      </c>
      <c r="B169" s="22" t="s">
        <v>653</v>
      </c>
      <c r="C169" s="21" t="s">
        <v>675</v>
      </c>
      <c r="D169" s="21" t="s">
        <v>682</v>
      </c>
      <c r="E169" s="23" t="s">
        <v>683</v>
      </c>
      <c r="F169" s="23" t="s">
        <v>289</v>
      </c>
      <c r="G169" s="24" t="s">
        <v>684</v>
      </c>
      <c r="H169" s="25" t="n">
        <v>26.1</v>
      </c>
      <c r="I169" s="26" t="s">
        <v>40</v>
      </c>
      <c r="J169" s="27"/>
      <c r="K169" s="26" t="s">
        <v>559</v>
      </c>
      <c r="L169" s="27" t="s">
        <v>125</v>
      </c>
      <c r="M169" s="28" t="n">
        <f aca="false">IF($H169="기한없음","",DATE(2000+VALUE(LEFT($H169,2)),VALUE(RIGHT($H169,1))*3+1,1)-1)</f>
        <v>46112</v>
      </c>
      <c r="N169" s="30" t="n">
        <f aca="false">IF($M169="","",$M169-이행현황요약!$B$3)</f>
        <v>-94</v>
      </c>
      <c r="O169" s="30" t="str">
        <f aca="false">IF($H169="기한없음","기한없음",IF($N169&lt;0,"기한초과",IF($N169&lt;=34,"긴급",IF($N169&lt;=120,"주의",IF($N169&lt;=240,"관찰","여유")))))</f>
        <v>기한초과</v>
      </c>
      <c r="P169" s="30" t="s">
        <v>68</v>
      </c>
    </row>
    <row r="170" customFormat="false" ht="33" hidden="false" customHeight="true" outlineLevel="0" collapsed="false">
      <c r="A170" s="21" t="s">
        <v>560</v>
      </c>
      <c r="B170" s="22" t="s">
        <v>653</v>
      </c>
      <c r="C170" s="21" t="s">
        <v>675</v>
      </c>
      <c r="D170" s="21" t="s">
        <v>685</v>
      </c>
      <c r="E170" s="21" t="s">
        <v>686</v>
      </c>
      <c r="F170" s="23" t="s">
        <v>289</v>
      </c>
      <c r="G170" s="31" t="s">
        <v>687</v>
      </c>
      <c r="H170" s="25" t="n">
        <v>26.2</v>
      </c>
      <c r="I170" s="26" t="s">
        <v>40</v>
      </c>
      <c r="J170" s="27"/>
      <c r="K170" s="27"/>
      <c r="L170" s="27" t="s">
        <v>125</v>
      </c>
      <c r="M170" s="28" t="n">
        <f aca="false">IF($H170="기한없음","",DATE(2000+VALUE(LEFT($H170,2)),VALUE(RIGHT($H170,1))*3+1,1)-1)</f>
        <v>46203</v>
      </c>
      <c r="N170" s="30" t="n">
        <f aca="false">IF($M170="","",$M170-이행현황요약!$B$3)</f>
        <v>-3</v>
      </c>
      <c r="O170" s="30" t="str">
        <f aca="false">IF($H170="기한없음","기한없음",IF($N170&lt;0,"기한초과",IF($N170&lt;=34,"긴급",IF($N170&lt;=120,"주의",IF($N170&lt;=240,"관찰","여유")))))</f>
        <v>기한초과</v>
      </c>
      <c r="P170" s="30" t="s">
        <v>68</v>
      </c>
    </row>
    <row r="171" customFormat="false" ht="82.5" hidden="false" customHeight="true" outlineLevel="0" collapsed="false">
      <c r="A171" s="21" t="s">
        <v>560</v>
      </c>
      <c r="B171" s="22" t="s">
        <v>653</v>
      </c>
      <c r="C171" s="21" t="s">
        <v>675</v>
      </c>
      <c r="D171" s="21" t="s">
        <v>688</v>
      </c>
      <c r="E171" s="23" t="s">
        <v>689</v>
      </c>
      <c r="F171" s="23" t="s">
        <v>289</v>
      </c>
      <c r="G171" s="31" t="s">
        <v>690</v>
      </c>
      <c r="H171" s="25" t="n">
        <v>26.1</v>
      </c>
      <c r="I171" s="26" t="s">
        <v>40</v>
      </c>
      <c r="J171" s="27"/>
      <c r="K171" s="26" t="s">
        <v>481</v>
      </c>
      <c r="L171" s="27" t="s">
        <v>125</v>
      </c>
      <c r="M171" s="28" t="n">
        <f aca="false">IF($H171="기한없음","",DATE(2000+VALUE(LEFT($H171,2)),VALUE(RIGHT($H171,1))*3+1,1)-1)</f>
        <v>46112</v>
      </c>
      <c r="N171" s="30" t="n">
        <f aca="false">IF($M171="","",$M171-이행현황요약!$B$3)</f>
        <v>-94</v>
      </c>
      <c r="O171" s="30" t="str">
        <f aca="false">IF($H171="기한없음","기한없음",IF($N171&lt;0,"기한초과",IF($N171&lt;=34,"긴급",IF($N171&lt;=120,"주의",IF($N171&lt;=240,"관찰","여유")))))</f>
        <v>기한초과</v>
      </c>
      <c r="P171" s="30" t="s">
        <v>68</v>
      </c>
    </row>
    <row r="172" customFormat="false" ht="49.5" hidden="false" customHeight="true" outlineLevel="0" collapsed="false">
      <c r="A172" s="21" t="s">
        <v>560</v>
      </c>
      <c r="B172" s="22" t="s">
        <v>653</v>
      </c>
      <c r="C172" s="21" t="s">
        <v>691</v>
      </c>
      <c r="D172" s="21" t="s">
        <v>692</v>
      </c>
      <c r="E172" s="21" t="s">
        <v>693</v>
      </c>
      <c r="F172" s="23" t="s">
        <v>289</v>
      </c>
      <c r="G172" s="24" t="s">
        <v>694</v>
      </c>
      <c r="H172" s="25" t="n">
        <v>26.4</v>
      </c>
      <c r="I172" s="26" t="s">
        <v>34</v>
      </c>
      <c r="J172" s="27"/>
      <c r="K172" s="26" t="s">
        <v>695</v>
      </c>
      <c r="L172" s="27" t="s">
        <v>125</v>
      </c>
      <c r="M172" s="28" t="n">
        <f aca="false">IF($H172="기한없음","",DATE(2000+VALUE(LEFT($H172,2)),VALUE(RIGHT($H172,1))*3+1,1)-1)</f>
        <v>46387</v>
      </c>
      <c r="N172" s="30" t="n">
        <f aca="false">IF($M172="","",$M172-이행현황요약!$B$3)</f>
        <v>181</v>
      </c>
      <c r="O172" s="30" t="str">
        <f aca="false">IF($H172="기한없음","기한없음",IF($N172&lt;0,"기한초과",IF($N172&lt;=34,"긴급",IF($N172&lt;=120,"주의",IF($N172&lt;=240,"관찰","여유")))))</f>
        <v>관찰</v>
      </c>
      <c r="P172" s="30" t="s">
        <v>68</v>
      </c>
    </row>
    <row r="173" customFormat="false" ht="66" hidden="false" customHeight="true" outlineLevel="0" collapsed="false">
      <c r="A173" s="21" t="s">
        <v>560</v>
      </c>
      <c r="B173" s="22" t="s">
        <v>653</v>
      </c>
      <c r="C173" s="21" t="s">
        <v>691</v>
      </c>
      <c r="D173" s="21" t="s">
        <v>696</v>
      </c>
      <c r="E173" s="23" t="s">
        <v>697</v>
      </c>
      <c r="F173" s="23" t="s">
        <v>289</v>
      </c>
      <c r="G173" s="24" t="s">
        <v>698</v>
      </c>
      <c r="H173" s="25" t="n">
        <v>26.1</v>
      </c>
      <c r="I173" s="26" t="s">
        <v>40</v>
      </c>
      <c r="J173" s="27"/>
      <c r="K173" s="27"/>
      <c r="L173" s="27" t="s">
        <v>125</v>
      </c>
      <c r="M173" s="28" t="n">
        <f aca="false">IF($H173="기한없음","",DATE(2000+VALUE(LEFT($H173,2)),VALUE(RIGHT($H173,1))*3+1,1)-1)</f>
        <v>46112</v>
      </c>
      <c r="N173" s="30" t="n">
        <f aca="false">IF($M173="","",$M173-이행현황요약!$B$3)</f>
        <v>-94</v>
      </c>
      <c r="O173" s="30" t="str">
        <f aca="false">IF($H173="기한없음","기한없음",IF($N173&lt;0,"기한초과",IF($N173&lt;=34,"긴급",IF($N173&lt;=120,"주의",IF($N173&lt;=240,"관찰","여유")))))</f>
        <v>기한초과</v>
      </c>
      <c r="P173" s="30" t="s">
        <v>68</v>
      </c>
    </row>
    <row r="174" customFormat="false" ht="99" hidden="false" customHeight="true" outlineLevel="0" collapsed="false">
      <c r="A174" s="21" t="s">
        <v>560</v>
      </c>
      <c r="B174" s="22" t="s">
        <v>653</v>
      </c>
      <c r="C174" s="21" t="s">
        <v>691</v>
      </c>
      <c r="D174" s="21" t="s">
        <v>699</v>
      </c>
      <c r="E174" s="21" t="s">
        <v>700</v>
      </c>
      <c r="F174" s="23" t="s">
        <v>289</v>
      </c>
      <c r="G174" s="24" t="s">
        <v>701</v>
      </c>
      <c r="H174" s="25" t="n">
        <v>26.4</v>
      </c>
      <c r="I174" s="26" t="s">
        <v>559</v>
      </c>
      <c r="J174" s="27"/>
      <c r="K174" s="26" t="s">
        <v>658</v>
      </c>
      <c r="L174" s="27" t="s">
        <v>125</v>
      </c>
      <c r="M174" s="28" t="n">
        <f aca="false">IF($H174="기한없음","",DATE(2000+VALUE(LEFT($H174,2)),VALUE(RIGHT($H174,1))*3+1,1)-1)</f>
        <v>46387</v>
      </c>
      <c r="N174" s="30" t="n">
        <f aca="false">IF($M174="","",$M174-이행현황요약!$B$3)</f>
        <v>181</v>
      </c>
      <c r="O174" s="30" t="str">
        <f aca="false">IF($H174="기한없음","기한없음",IF($N174&lt;0,"기한초과",IF($N174&lt;=34,"긴급",IF($N174&lt;=120,"주의",IF($N174&lt;=240,"관찰","여유")))))</f>
        <v>관찰</v>
      </c>
      <c r="P174" s="30" t="s">
        <v>68</v>
      </c>
    </row>
    <row r="175" customFormat="false" ht="33" hidden="false" customHeight="true" outlineLevel="0" collapsed="false">
      <c r="A175" s="21" t="s">
        <v>560</v>
      </c>
      <c r="B175" s="22" t="s">
        <v>653</v>
      </c>
      <c r="C175" s="21" t="s">
        <v>702</v>
      </c>
      <c r="D175" s="21" t="s">
        <v>703</v>
      </c>
      <c r="E175" s="21" t="s">
        <v>704</v>
      </c>
      <c r="F175" s="23" t="s">
        <v>289</v>
      </c>
      <c r="G175" s="24" t="s">
        <v>705</v>
      </c>
      <c r="H175" s="25" t="n">
        <v>26.3</v>
      </c>
      <c r="I175" s="26" t="s">
        <v>559</v>
      </c>
      <c r="J175" s="27"/>
      <c r="K175" s="27"/>
      <c r="L175" s="27" t="s">
        <v>125</v>
      </c>
      <c r="M175" s="28" t="n">
        <f aca="false">IF($H175="기한없음","",DATE(2000+VALUE(LEFT($H175,2)),VALUE(RIGHT($H175,1))*3+1,1)-1)</f>
        <v>46295</v>
      </c>
      <c r="N175" s="30" t="n">
        <f aca="false">IF($M175="","",$M175-이행현황요약!$B$3)</f>
        <v>89</v>
      </c>
      <c r="O175" s="30" t="str">
        <f aca="false">IF($H175="기한없음","기한없음",IF($N175&lt;0,"기한초과",IF($N175&lt;=34,"긴급",IF($N175&lt;=120,"주의",IF($N175&lt;=240,"관찰","여유")))))</f>
        <v>주의</v>
      </c>
      <c r="P175" s="30" t="s">
        <v>68</v>
      </c>
    </row>
    <row r="176" customFormat="false" ht="49.5" hidden="false" customHeight="true" outlineLevel="0" collapsed="false">
      <c r="A176" s="21" t="s">
        <v>560</v>
      </c>
      <c r="B176" s="22" t="s">
        <v>653</v>
      </c>
      <c r="C176" s="21" t="s">
        <v>702</v>
      </c>
      <c r="D176" s="21" t="s">
        <v>706</v>
      </c>
      <c r="E176" s="21" t="s">
        <v>707</v>
      </c>
      <c r="F176" s="23" t="s">
        <v>289</v>
      </c>
      <c r="G176" s="24" t="s">
        <v>708</v>
      </c>
      <c r="H176" s="25" t="n">
        <v>26.1</v>
      </c>
      <c r="I176" s="26" t="s">
        <v>40</v>
      </c>
      <c r="J176" s="27"/>
      <c r="K176" s="27"/>
      <c r="L176" s="27" t="s">
        <v>125</v>
      </c>
      <c r="M176" s="28" t="n">
        <f aca="false">IF($H176="기한없음","",DATE(2000+VALUE(LEFT($H176,2)),VALUE(RIGHT($H176,1))*3+1,1)-1)</f>
        <v>46112</v>
      </c>
      <c r="N176" s="30" t="n">
        <f aca="false">IF($M176="","",$M176-이행현황요약!$B$3)</f>
        <v>-94</v>
      </c>
      <c r="O176" s="30" t="str">
        <f aca="false">IF($H176="기한없음","기한없음",IF($N176&lt;0,"기한초과",IF($N176&lt;=34,"긴급",IF($N176&lt;=120,"주의",IF($N176&lt;=240,"관찰","여유")))))</f>
        <v>기한초과</v>
      </c>
      <c r="P176" s="30" t="s">
        <v>68</v>
      </c>
    </row>
    <row r="177" customFormat="false" ht="33" hidden="false" customHeight="true" outlineLevel="0" collapsed="false">
      <c r="A177" s="21" t="s">
        <v>560</v>
      </c>
      <c r="B177" s="22" t="s">
        <v>653</v>
      </c>
      <c r="C177" s="21" t="s">
        <v>709</v>
      </c>
      <c r="D177" s="21" t="s">
        <v>710</v>
      </c>
      <c r="E177" s="23" t="s">
        <v>711</v>
      </c>
      <c r="F177" s="23" t="s">
        <v>289</v>
      </c>
      <c r="G177" s="24" t="s">
        <v>712</v>
      </c>
      <c r="H177" s="25" t="n">
        <v>27.2</v>
      </c>
      <c r="I177" s="26" t="s">
        <v>40</v>
      </c>
      <c r="J177" s="27"/>
      <c r="K177" s="27"/>
      <c r="L177" s="27" t="s">
        <v>125</v>
      </c>
      <c r="M177" s="28" t="n">
        <f aca="false">IF($H177="기한없음","",DATE(2000+VALUE(LEFT($H177,2)),VALUE(RIGHT($H177,1))*3+1,1)-1)</f>
        <v>46568</v>
      </c>
      <c r="N177" s="30" t="n">
        <f aca="false">IF($M177="","",$M177-이행현황요약!$B$3)</f>
        <v>362</v>
      </c>
      <c r="O177" s="30" t="str">
        <f aca="false">IF($H177="기한없음","기한없음",IF($N177&lt;0,"기한초과",IF($N177&lt;=34,"긴급",IF($N177&lt;=120,"주의",IF($N177&lt;=240,"관찰","여유")))))</f>
        <v>여유</v>
      </c>
      <c r="P177" s="30" t="s">
        <v>68</v>
      </c>
    </row>
    <row r="178" customFormat="false" ht="33" hidden="false" customHeight="true" outlineLevel="0" collapsed="false">
      <c r="A178" s="21" t="s">
        <v>560</v>
      </c>
      <c r="B178" s="22" t="s">
        <v>653</v>
      </c>
      <c r="C178" s="21" t="s">
        <v>709</v>
      </c>
      <c r="D178" s="21" t="s">
        <v>713</v>
      </c>
      <c r="E178" s="21" t="s">
        <v>714</v>
      </c>
      <c r="F178" s="23" t="s">
        <v>289</v>
      </c>
      <c r="G178" s="31" t="s">
        <v>715</v>
      </c>
      <c r="H178" s="25" t="n">
        <v>26.3</v>
      </c>
      <c r="I178" s="26" t="s">
        <v>40</v>
      </c>
      <c r="J178" s="27"/>
      <c r="K178" s="27"/>
      <c r="L178" s="27" t="s">
        <v>125</v>
      </c>
      <c r="M178" s="28" t="n">
        <f aca="false">IF($H178="기한없음","",DATE(2000+VALUE(LEFT($H178,2)),VALUE(RIGHT($H178,1))*3+1,1)-1)</f>
        <v>46295</v>
      </c>
      <c r="N178" s="30" t="n">
        <f aca="false">IF($M178="","",$M178-이행현황요약!$B$3)</f>
        <v>89</v>
      </c>
      <c r="O178" s="30" t="str">
        <f aca="false">IF($H178="기한없음","기한없음",IF($N178&lt;0,"기한초과",IF($N178&lt;=34,"긴급",IF($N178&lt;=120,"주의",IF($N178&lt;=240,"관찰","여유")))))</f>
        <v>주의</v>
      </c>
      <c r="P178" s="30" t="s">
        <v>68</v>
      </c>
    </row>
    <row r="179" customFormat="false" ht="33" hidden="false" customHeight="true" outlineLevel="0" collapsed="false">
      <c r="A179" s="21" t="s">
        <v>560</v>
      </c>
      <c r="B179" s="22" t="s">
        <v>653</v>
      </c>
      <c r="C179" s="21" t="s">
        <v>709</v>
      </c>
      <c r="D179" s="21" t="s">
        <v>716</v>
      </c>
      <c r="E179" s="23" t="s">
        <v>717</v>
      </c>
      <c r="F179" s="23" t="s">
        <v>289</v>
      </c>
      <c r="G179" s="24" t="s">
        <v>718</v>
      </c>
      <c r="H179" s="25" t="n">
        <v>26.2</v>
      </c>
      <c r="I179" s="26" t="s">
        <v>34</v>
      </c>
      <c r="J179" s="27"/>
      <c r="K179" s="27"/>
      <c r="L179" s="27" t="s">
        <v>125</v>
      </c>
      <c r="M179" s="28" t="n">
        <f aca="false">IF($H179="기한없음","",DATE(2000+VALUE(LEFT($H179,2)),VALUE(RIGHT($H179,1))*3+1,1)-1)</f>
        <v>46203</v>
      </c>
      <c r="N179" s="30" t="n">
        <f aca="false">IF($M179="","",$M179-이행현황요약!$B$3)</f>
        <v>-3</v>
      </c>
      <c r="O179" s="30" t="str">
        <f aca="false">IF($H179="기한없음","기한없음",IF($N179&lt;0,"기한초과",IF($N179&lt;=34,"긴급",IF($N179&lt;=120,"주의",IF($N179&lt;=240,"관찰","여유")))))</f>
        <v>기한초과</v>
      </c>
      <c r="P179" s="30" t="s">
        <v>68</v>
      </c>
    </row>
    <row r="180" customFormat="false" ht="33" hidden="false" customHeight="true" outlineLevel="0" collapsed="false">
      <c r="A180" s="21" t="s">
        <v>560</v>
      </c>
      <c r="B180" s="22" t="s">
        <v>653</v>
      </c>
      <c r="C180" s="21" t="s">
        <v>709</v>
      </c>
      <c r="D180" s="21" t="s">
        <v>719</v>
      </c>
      <c r="E180" s="23" t="s">
        <v>720</v>
      </c>
      <c r="F180" s="23" t="s">
        <v>289</v>
      </c>
      <c r="G180" s="24" t="s">
        <v>721</v>
      </c>
      <c r="H180" s="25" t="n">
        <v>26.1</v>
      </c>
      <c r="I180" s="26" t="s">
        <v>40</v>
      </c>
      <c r="J180" s="27"/>
      <c r="K180" s="27"/>
      <c r="L180" s="27" t="s">
        <v>125</v>
      </c>
      <c r="M180" s="28" t="n">
        <f aca="false">IF($H180="기한없음","",DATE(2000+VALUE(LEFT($H180,2)),VALUE(RIGHT($H180,1))*3+1,1)-1)</f>
        <v>46112</v>
      </c>
      <c r="N180" s="30" t="n">
        <f aca="false">IF($M180="","",$M180-이행현황요약!$B$3)</f>
        <v>-94</v>
      </c>
      <c r="O180" s="30" t="str">
        <f aca="false">IF($H180="기한없음","기한없음",IF($N180&lt;0,"기한초과",IF($N180&lt;=34,"긴급",IF($N180&lt;=120,"주의",IF($N180&lt;=240,"관찰","여유")))))</f>
        <v>기한초과</v>
      </c>
      <c r="P180" s="30" t="s">
        <v>68</v>
      </c>
    </row>
    <row r="181" customFormat="false" ht="33" hidden="false" customHeight="true" outlineLevel="0" collapsed="false">
      <c r="A181" s="21" t="s">
        <v>560</v>
      </c>
      <c r="B181" s="22" t="s">
        <v>653</v>
      </c>
      <c r="C181" s="21" t="s">
        <v>722</v>
      </c>
      <c r="D181" s="21" t="s">
        <v>723</v>
      </c>
      <c r="E181" s="23" t="s">
        <v>724</v>
      </c>
      <c r="F181" s="23" t="s">
        <v>289</v>
      </c>
      <c r="G181" s="31" t="s">
        <v>725</v>
      </c>
      <c r="H181" s="25" t="n">
        <v>26.4</v>
      </c>
      <c r="I181" s="26" t="s">
        <v>40</v>
      </c>
      <c r="J181" s="27"/>
      <c r="K181" s="27"/>
      <c r="L181" s="27" t="s">
        <v>125</v>
      </c>
      <c r="M181" s="28" t="n">
        <f aca="false">IF($H181="기한없음","",DATE(2000+VALUE(LEFT($H181,2)),VALUE(RIGHT($H181,1))*3+1,1)-1)</f>
        <v>46387</v>
      </c>
      <c r="N181" s="30" t="n">
        <f aca="false">IF($M181="","",$M181-이행현황요약!$B$3)</f>
        <v>181</v>
      </c>
      <c r="O181" s="30" t="str">
        <f aca="false">IF($H181="기한없음","기한없음",IF($N181&lt;0,"기한초과",IF($N181&lt;=34,"긴급",IF($N181&lt;=120,"주의",IF($N181&lt;=240,"관찰","여유")))))</f>
        <v>관찰</v>
      </c>
      <c r="P181" s="30" t="s">
        <v>68</v>
      </c>
    </row>
    <row r="182" customFormat="false" ht="33" hidden="false" customHeight="true" outlineLevel="0" collapsed="false">
      <c r="A182" s="21" t="s">
        <v>560</v>
      </c>
      <c r="B182" s="22" t="s">
        <v>653</v>
      </c>
      <c r="C182" s="21" t="s">
        <v>722</v>
      </c>
      <c r="D182" s="21" t="s">
        <v>726</v>
      </c>
      <c r="E182" s="21" t="s">
        <v>727</v>
      </c>
      <c r="F182" s="23" t="s">
        <v>289</v>
      </c>
      <c r="G182" s="24" t="s">
        <v>728</v>
      </c>
      <c r="H182" s="25" t="n">
        <v>26.2</v>
      </c>
      <c r="I182" s="26" t="s">
        <v>40</v>
      </c>
      <c r="J182" s="27"/>
      <c r="K182" s="27"/>
      <c r="L182" s="27" t="s">
        <v>125</v>
      </c>
      <c r="M182" s="28" t="n">
        <f aca="false">IF($H182="기한없음","",DATE(2000+VALUE(LEFT($H182,2)),VALUE(RIGHT($H182,1))*3+1,1)-1)</f>
        <v>46203</v>
      </c>
      <c r="N182" s="30" t="n">
        <f aca="false">IF($M182="","",$M182-이행현황요약!$B$3)</f>
        <v>-3</v>
      </c>
      <c r="O182" s="30" t="str">
        <f aca="false">IF($H182="기한없음","기한없음",IF($N182&lt;0,"기한초과",IF($N182&lt;=34,"긴급",IF($N182&lt;=120,"주의",IF($N182&lt;=240,"관찰","여유")))))</f>
        <v>기한초과</v>
      </c>
      <c r="P182" s="30" t="s">
        <v>68</v>
      </c>
    </row>
    <row r="183" customFormat="false" ht="33" hidden="false" customHeight="true" outlineLevel="0" collapsed="false">
      <c r="A183" s="21" t="s">
        <v>560</v>
      </c>
      <c r="B183" s="22" t="s">
        <v>653</v>
      </c>
      <c r="C183" s="21" t="s">
        <v>722</v>
      </c>
      <c r="D183" s="21" t="s">
        <v>729</v>
      </c>
      <c r="E183" s="23" t="s">
        <v>730</v>
      </c>
      <c r="F183" s="23" t="s">
        <v>289</v>
      </c>
      <c r="G183" s="24" t="s">
        <v>731</v>
      </c>
      <c r="H183" s="25" t="n">
        <v>26.4</v>
      </c>
      <c r="I183" s="26" t="s">
        <v>559</v>
      </c>
      <c r="J183" s="27"/>
      <c r="K183" s="27"/>
      <c r="L183" s="27" t="s">
        <v>125</v>
      </c>
      <c r="M183" s="28" t="n">
        <f aca="false">IF($H183="기한없음","",DATE(2000+VALUE(LEFT($H183,2)),VALUE(RIGHT($H183,1))*3+1,1)-1)</f>
        <v>46387</v>
      </c>
      <c r="N183" s="30" t="n">
        <f aca="false">IF($M183="","",$M183-이행현황요약!$B$3)</f>
        <v>181</v>
      </c>
      <c r="O183" s="30" t="str">
        <f aca="false">IF($H183="기한없음","기한없음",IF($N183&lt;0,"기한초과",IF($N183&lt;=34,"긴급",IF($N183&lt;=120,"주의",IF($N183&lt;=240,"관찰","여유")))))</f>
        <v>관찰</v>
      </c>
      <c r="P183" s="30" t="s">
        <v>68</v>
      </c>
    </row>
    <row r="184" customFormat="false" ht="66" hidden="false" customHeight="true" outlineLevel="0" collapsed="false">
      <c r="A184" s="21" t="s">
        <v>560</v>
      </c>
      <c r="B184" s="22" t="s">
        <v>653</v>
      </c>
      <c r="C184" s="21" t="s">
        <v>722</v>
      </c>
      <c r="D184" s="21" t="s">
        <v>732</v>
      </c>
      <c r="E184" s="23" t="s">
        <v>733</v>
      </c>
      <c r="F184" s="23" t="s">
        <v>289</v>
      </c>
      <c r="G184" s="24" t="s">
        <v>734</v>
      </c>
      <c r="H184" s="25" t="n">
        <v>26.4</v>
      </c>
      <c r="I184" s="26" t="s">
        <v>40</v>
      </c>
      <c r="J184" s="27"/>
      <c r="K184" s="27"/>
      <c r="L184" s="27" t="s">
        <v>125</v>
      </c>
      <c r="M184" s="28" t="n">
        <f aca="false">IF($H184="기한없음","",DATE(2000+VALUE(LEFT($H184,2)),VALUE(RIGHT($H184,1))*3+1,1)-1)</f>
        <v>46387</v>
      </c>
      <c r="N184" s="30" t="n">
        <f aca="false">IF($M184="","",$M184-이행현황요약!$B$3)</f>
        <v>181</v>
      </c>
      <c r="O184" s="30" t="str">
        <f aca="false">IF($H184="기한없음","기한없음",IF($N184&lt;0,"기한초과",IF($N184&lt;=34,"긴급",IF($N184&lt;=120,"주의",IF($N184&lt;=240,"관찰","여유")))))</f>
        <v>관찰</v>
      </c>
      <c r="P184" s="30" t="s">
        <v>68</v>
      </c>
    </row>
    <row r="185" customFormat="false" ht="33" hidden="false" customHeight="true" outlineLevel="0" collapsed="false">
      <c r="A185" s="21" t="s">
        <v>560</v>
      </c>
      <c r="B185" s="22" t="s">
        <v>653</v>
      </c>
      <c r="C185" s="21" t="s">
        <v>735</v>
      </c>
      <c r="D185" s="21" t="s">
        <v>736</v>
      </c>
      <c r="E185" s="23" t="s">
        <v>737</v>
      </c>
      <c r="F185" s="23" t="s">
        <v>289</v>
      </c>
      <c r="G185" s="24" t="s">
        <v>738</v>
      </c>
      <c r="H185" s="25" t="n">
        <v>26.1</v>
      </c>
      <c r="I185" s="26" t="s">
        <v>739</v>
      </c>
      <c r="J185" s="27"/>
      <c r="K185" s="27"/>
      <c r="L185" s="27" t="s">
        <v>125</v>
      </c>
      <c r="M185" s="28" t="n">
        <f aca="false">IF($H185="기한없음","",DATE(2000+VALUE(LEFT($H185,2)),VALUE(RIGHT($H185,1))*3+1,1)-1)</f>
        <v>46112</v>
      </c>
      <c r="N185" s="30" t="n">
        <f aca="false">IF($M185="","",$M185-이행현황요약!$B$3)</f>
        <v>-94</v>
      </c>
      <c r="O185" s="30" t="str">
        <f aca="false">IF($H185="기한없음","기한없음",IF($N185&lt;0,"기한초과",IF($N185&lt;=34,"긴급",IF($N185&lt;=120,"주의",IF($N185&lt;=240,"관찰","여유")))))</f>
        <v>기한초과</v>
      </c>
      <c r="P185" s="30" t="s">
        <v>68</v>
      </c>
    </row>
    <row r="186" customFormat="false" ht="49.5" hidden="false" customHeight="true" outlineLevel="0" collapsed="false">
      <c r="A186" s="21" t="s">
        <v>560</v>
      </c>
      <c r="B186" s="22" t="s">
        <v>653</v>
      </c>
      <c r="C186" s="21" t="s">
        <v>735</v>
      </c>
      <c r="D186" s="21" t="s">
        <v>740</v>
      </c>
      <c r="E186" s="23" t="s">
        <v>741</v>
      </c>
      <c r="F186" s="23" t="s">
        <v>289</v>
      </c>
      <c r="G186" s="24" t="s">
        <v>742</v>
      </c>
      <c r="H186" s="25" t="n">
        <v>26.4</v>
      </c>
      <c r="I186" s="26" t="s">
        <v>34</v>
      </c>
      <c r="J186" s="27"/>
      <c r="K186" s="27"/>
      <c r="L186" s="27" t="s">
        <v>125</v>
      </c>
      <c r="M186" s="28" t="n">
        <f aca="false">IF($H186="기한없음","",DATE(2000+VALUE(LEFT($H186,2)),VALUE(RIGHT($H186,1))*3+1,1)-1)</f>
        <v>46387</v>
      </c>
      <c r="N186" s="30" t="n">
        <f aca="false">IF($M186="","",$M186-이행현황요약!$B$3)</f>
        <v>181</v>
      </c>
      <c r="O186" s="30" t="str">
        <f aca="false">IF($H186="기한없음","기한없음",IF($N186&lt;0,"기한초과",IF($N186&lt;=34,"긴급",IF($N186&lt;=120,"주의",IF($N186&lt;=240,"관찰","여유")))))</f>
        <v>관찰</v>
      </c>
      <c r="P186" s="30" t="s">
        <v>68</v>
      </c>
    </row>
    <row r="187" customFormat="false" ht="99" hidden="false" customHeight="true" outlineLevel="0" collapsed="false">
      <c r="A187" s="21" t="s">
        <v>560</v>
      </c>
      <c r="B187" s="22" t="s">
        <v>653</v>
      </c>
      <c r="C187" s="21" t="s">
        <v>735</v>
      </c>
      <c r="D187" s="21" t="s">
        <v>743</v>
      </c>
      <c r="E187" s="23" t="s">
        <v>744</v>
      </c>
      <c r="F187" s="23" t="s">
        <v>289</v>
      </c>
      <c r="G187" s="24" t="s">
        <v>745</v>
      </c>
      <c r="H187" s="25" t="n">
        <v>26.1</v>
      </c>
      <c r="I187" s="26" t="s">
        <v>40</v>
      </c>
      <c r="J187" s="27"/>
      <c r="K187" s="27"/>
      <c r="L187" s="27" t="s">
        <v>125</v>
      </c>
      <c r="M187" s="28" t="n">
        <f aca="false">IF($H187="기한없음","",DATE(2000+VALUE(LEFT($H187,2)),VALUE(RIGHT($H187,1))*3+1,1)-1)</f>
        <v>46112</v>
      </c>
      <c r="N187" s="30" t="n">
        <f aca="false">IF($M187="","",$M187-이행현황요약!$B$3)</f>
        <v>-94</v>
      </c>
      <c r="O187" s="30" t="str">
        <f aca="false">IF($H187="기한없음","기한없음",IF($N187&lt;0,"기한초과",IF($N187&lt;=34,"긴급",IF($N187&lt;=120,"주의",IF($N187&lt;=240,"관찰","여유")))))</f>
        <v>기한초과</v>
      </c>
      <c r="P187" s="30" t="s">
        <v>68</v>
      </c>
    </row>
    <row r="188" customFormat="false" ht="33" hidden="false" customHeight="true" outlineLevel="0" collapsed="false">
      <c r="A188" s="21" t="s">
        <v>560</v>
      </c>
      <c r="B188" s="22" t="s">
        <v>653</v>
      </c>
      <c r="C188" s="21" t="s">
        <v>746</v>
      </c>
      <c r="D188" s="21" t="s">
        <v>747</v>
      </c>
      <c r="E188" s="23" t="s">
        <v>748</v>
      </c>
      <c r="F188" s="23" t="s">
        <v>289</v>
      </c>
      <c r="G188" s="31" t="s">
        <v>749</v>
      </c>
      <c r="H188" s="25" t="n">
        <v>26.2</v>
      </c>
      <c r="I188" s="26" t="s">
        <v>156</v>
      </c>
      <c r="J188" s="27"/>
      <c r="K188" s="26" t="s">
        <v>750</v>
      </c>
      <c r="L188" s="27" t="s">
        <v>125</v>
      </c>
      <c r="M188" s="28" t="n">
        <f aca="false">IF($H188="기한없음","",DATE(2000+VALUE(LEFT($H188,2)),VALUE(RIGHT($H188,1))*3+1,1)-1)</f>
        <v>46203</v>
      </c>
      <c r="N188" s="30" t="n">
        <f aca="false">IF($M188="","",$M188-이행현황요약!$B$3)</f>
        <v>-3</v>
      </c>
      <c r="O188" s="30" t="str">
        <f aca="false">IF($H188="기한없음","기한없음",IF($N188&lt;0,"기한초과",IF($N188&lt;=34,"긴급",IF($N188&lt;=120,"주의",IF($N188&lt;=240,"관찰","여유")))))</f>
        <v>기한초과</v>
      </c>
      <c r="P188" s="30" t="s">
        <v>68</v>
      </c>
    </row>
    <row r="189" customFormat="false" ht="33" hidden="false" customHeight="true" outlineLevel="0" collapsed="false">
      <c r="A189" s="21" t="s">
        <v>560</v>
      </c>
      <c r="B189" s="22" t="s">
        <v>653</v>
      </c>
      <c r="C189" s="21" t="s">
        <v>746</v>
      </c>
      <c r="D189" s="21" t="s">
        <v>751</v>
      </c>
      <c r="E189" s="23" t="s">
        <v>752</v>
      </c>
      <c r="F189" s="23" t="s">
        <v>289</v>
      </c>
      <c r="G189" s="31" t="s">
        <v>753</v>
      </c>
      <c r="H189" s="25" t="n">
        <v>26.1</v>
      </c>
      <c r="I189" s="26" t="s">
        <v>34</v>
      </c>
      <c r="J189" s="27"/>
      <c r="K189" s="27"/>
      <c r="L189" s="27" t="s">
        <v>125</v>
      </c>
      <c r="M189" s="28" t="n">
        <f aca="false">IF($H189="기한없음","",DATE(2000+VALUE(LEFT($H189,2)),VALUE(RIGHT($H189,1))*3+1,1)-1)</f>
        <v>46112</v>
      </c>
      <c r="N189" s="30" t="n">
        <f aca="false">IF($M189="","",$M189-이행현황요약!$B$3)</f>
        <v>-94</v>
      </c>
      <c r="O189" s="30" t="str">
        <f aca="false">IF($H189="기한없음","기한없음",IF($N189&lt;0,"기한초과",IF($N189&lt;=34,"긴급",IF($N189&lt;=120,"주의",IF($N189&lt;=240,"관찰","여유")))))</f>
        <v>기한초과</v>
      </c>
      <c r="P189" s="30" t="s">
        <v>68</v>
      </c>
    </row>
    <row r="190" customFormat="false" ht="33" hidden="false" customHeight="true" outlineLevel="0" collapsed="false">
      <c r="A190" s="21" t="s">
        <v>560</v>
      </c>
      <c r="B190" s="22" t="s">
        <v>653</v>
      </c>
      <c r="C190" s="21" t="s">
        <v>746</v>
      </c>
      <c r="D190" s="21" t="s">
        <v>754</v>
      </c>
      <c r="E190" s="23" t="s">
        <v>755</v>
      </c>
      <c r="F190" s="23" t="s">
        <v>289</v>
      </c>
      <c r="G190" s="24" t="s">
        <v>756</v>
      </c>
      <c r="H190" s="25" t="n">
        <v>26.1</v>
      </c>
      <c r="I190" s="26" t="s">
        <v>40</v>
      </c>
      <c r="J190" s="27"/>
      <c r="K190" s="27"/>
      <c r="L190" s="27" t="s">
        <v>125</v>
      </c>
      <c r="M190" s="28" t="n">
        <f aca="false">IF($H190="기한없음","",DATE(2000+VALUE(LEFT($H190,2)),VALUE(RIGHT($H190,1))*3+1,1)-1)</f>
        <v>46112</v>
      </c>
      <c r="N190" s="30" t="n">
        <f aca="false">IF($M190="","",$M190-이행현황요약!$B$3)</f>
        <v>-94</v>
      </c>
      <c r="O190" s="30" t="str">
        <f aca="false">IF($H190="기한없음","기한없음",IF($N190&lt;0,"기한초과",IF($N190&lt;=34,"긴급",IF($N190&lt;=120,"주의",IF($N190&lt;=240,"관찰","여유")))))</f>
        <v>기한초과</v>
      </c>
      <c r="P190" s="30" t="s">
        <v>68</v>
      </c>
    </row>
    <row r="191" customFormat="false" ht="49.5" hidden="false" customHeight="true" outlineLevel="0" collapsed="false">
      <c r="A191" s="21" t="s">
        <v>560</v>
      </c>
      <c r="B191" s="22" t="s">
        <v>653</v>
      </c>
      <c r="C191" s="21" t="s">
        <v>746</v>
      </c>
      <c r="D191" s="21" t="s">
        <v>757</v>
      </c>
      <c r="E191" s="21" t="s">
        <v>758</v>
      </c>
      <c r="F191" s="23" t="s">
        <v>289</v>
      </c>
      <c r="G191" s="24" t="s">
        <v>759</v>
      </c>
      <c r="H191" s="25" t="n">
        <v>26.1</v>
      </c>
      <c r="I191" s="26" t="s">
        <v>34</v>
      </c>
      <c r="J191" s="27"/>
      <c r="K191" s="26" t="s">
        <v>760</v>
      </c>
      <c r="L191" s="27" t="s">
        <v>125</v>
      </c>
      <c r="M191" s="28" t="n">
        <f aca="false">IF($H191="기한없음","",DATE(2000+VALUE(LEFT($H191,2)),VALUE(RIGHT($H191,1))*3+1,1)-1)</f>
        <v>46112</v>
      </c>
      <c r="N191" s="30" t="n">
        <f aca="false">IF($M191="","",$M191-이행현황요약!$B$3)</f>
        <v>-94</v>
      </c>
      <c r="O191" s="30" t="str">
        <f aca="false">IF($H191="기한없음","기한없음",IF($N191&lt;0,"기한초과",IF($N191&lt;=34,"긴급",IF($N191&lt;=120,"주의",IF($N191&lt;=240,"관찰","여유")))))</f>
        <v>기한초과</v>
      </c>
      <c r="P191" s="30" t="s">
        <v>68</v>
      </c>
    </row>
    <row r="192" customFormat="false" ht="33" hidden="false" customHeight="true" outlineLevel="0" collapsed="false">
      <c r="A192" s="21" t="s">
        <v>560</v>
      </c>
      <c r="B192" s="22" t="s">
        <v>653</v>
      </c>
      <c r="C192" s="21" t="s">
        <v>746</v>
      </c>
      <c r="D192" s="21" t="s">
        <v>761</v>
      </c>
      <c r="E192" s="21" t="s">
        <v>762</v>
      </c>
      <c r="F192" s="23" t="s">
        <v>289</v>
      </c>
      <c r="G192" s="24" t="s">
        <v>763</v>
      </c>
      <c r="H192" s="25" t="n">
        <v>26.1</v>
      </c>
      <c r="I192" s="26" t="s">
        <v>40</v>
      </c>
      <c r="J192" s="27"/>
      <c r="K192" s="26" t="s">
        <v>34</v>
      </c>
      <c r="L192" s="27" t="s">
        <v>125</v>
      </c>
      <c r="M192" s="28" t="n">
        <f aca="false">IF($H192="기한없음","",DATE(2000+VALUE(LEFT($H192,2)),VALUE(RIGHT($H192,1))*3+1,1)-1)</f>
        <v>46112</v>
      </c>
      <c r="N192" s="30" t="n">
        <f aca="false">IF($M192="","",$M192-이행현황요약!$B$3)</f>
        <v>-94</v>
      </c>
      <c r="O192" s="30" t="str">
        <f aca="false">IF($H192="기한없음","기한없음",IF($N192&lt;0,"기한초과",IF($N192&lt;=34,"긴급",IF($N192&lt;=120,"주의",IF($N192&lt;=240,"관찰","여유")))))</f>
        <v>기한초과</v>
      </c>
      <c r="P192" s="30" t="s">
        <v>68</v>
      </c>
    </row>
    <row r="193" customFormat="false" ht="33" hidden="false" customHeight="true" outlineLevel="0" collapsed="false">
      <c r="A193" s="21" t="s">
        <v>560</v>
      </c>
      <c r="B193" s="22" t="s">
        <v>653</v>
      </c>
      <c r="C193" s="21" t="s">
        <v>764</v>
      </c>
      <c r="D193" s="21" t="s">
        <v>765</v>
      </c>
      <c r="E193" s="23" t="s">
        <v>766</v>
      </c>
      <c r="F193" s="23" t="s">
        <v>289</v>
      </c>
      <c r="G193" s="24" t="s">
        <v>767</v>
      </c>
      <c r="H193" s="25" t="n">
        <v>26.1</v>
      </c>
      <c r="I193" s="26" t="s">
        <v>768</v>
      </c>
      <c r="J193" s="27" t="s">
        <v>94</v>
      </c>
      <c r="K193" s="26" t="s">
        <v>34</v>
      </c>
      <c r="L193" s="27" t="s">
        <v>125</v>
      </c>
      <c r="M193" s="28" t="n">
        <f aca="false">IF($H193="기한없음","",DATE(2000+VALUE(LEFT($H193,2)),VALUE(RIGHT($H193,1))*3+1,1)-1)</f>
        <v>46112</v>
      </c>
      <c r="N193" s="30" t="n">
        <f aca="false">IF($M193="","",$M193-이행현황요약!$B$3)</f>
        <v>-94</v>
      </c>
      <c r="O193" s="30" t="str">
        <f aca="false">IF($H193="기한없음","기한없음",IF($N193&lt;0,"기한초과",IF($N193&lt;=34,"긴급",IF($N193&lt;=120,"주의",IF($N193&lt;=240,"관찰","여유")))))</f>
        <v>기한초과</v>
      </c>
      <c r="P193" s="30" t="s">
        <v>68</v>
      </c>
    </row>
    <row r="194" customFormat="false" ht="33" hidden="false" customHeight="true" outlineLevel="0" collapsed="false">
      <c r="A194" s="21" t="s">
        <v>560</v>
      </c>
      <c r="B194" s="22" t="s">
        <v>653</v>
      </c>
      <c r="C194" s="21" t="s">
        <v>764</v>
      </c>
      <c r="D194" s="21" t="s">
        <v>769</v>
      </c>
      <c r="E194" s="23" t="s">
        <v>770</v>
      </c>
      <c r="F194" s="23" t="s">
        <v>289</v>
      </c>
      <c r="G194" s="31" t="s">
        <v>771</v>
      </c>
      <c r="H194" s="25" t="n">
        <v>26.1</v>
      </c>
      <c r="I194" s="26" t="s">
        <v>42</v>
      </c>
      <c r="J194" s="27"/>
      <c r="K194" s="27"/>
      <c r="L194" s="27" t="s">
        <v>125</v>
      </c>
      <c r="M194" s="28" t="n">
        <f aca="false">IF($H194="기한없음","",DATE(2000+VALUE(LEFT($H194,2)),VALUE(RIGHT($H194,1))*3+1,1)-1)</f>
        <v>46112</v>
      </c>
      <c r="N194" s="30" t="n">
        <f aca="false">IF($M194="","",$M194-이행현황요약!$B$3)</f>
        <v>-94</v>
      </c>
      <c r="O194" s="30" t="str">
        <f aca="false">IF($H194="기한없음","기한없음",IF($N194&lt;0,"기한초과",IF($N194&lt;=34,"긴급",IF($N194&lt;=120,"주의",IF($N194&lt;=240,"관찰","여유")))))</f>
        <v>기한초과</v>
      </c>
      <c r="P194" s="30" t="s">
        <v>68</v>
      </c>
    </row>
    <row r="195" customFormat="false" ht="82.5" hidden="false" customHeight="true" outlineLevel="0" collapsed="false">
      <c r="A195" s="21" t="s">
        <v>560</v>
      </c>
      <c r="B195" s="22" t="s">
        <v>653</v>
      </c>
      <c r="C195" s="21" t="s">
        <v>764</v>
      </c>
      <c r="D195" s="21" t="s">
        <v>772</v>
      </c>
      <c r="E195" s="23" t="s">
        <v>773</v>
      </c>
      <c r="F195" s="23" t="s">
        <v>289</v>
      </c>
      <c r="G195" s="31" t="s">
        <v>774</v>
      </c>
      <c r="H195" s="25" t="n">
        <v>26.1</v>
      </c>
      <c r="I195" s="26" t="s">
        <v>34</v>
      </c>
      <c r="J195" s="27"/>
      <c r="K195" s="26" t="s">
        <v>775</v>
      </c>
      <c r="L195" s="27" t="s">
        <v>125</v>
      </c>
      <c r="M195" s="28" t="n">
        <f aca="false">IF($H195="기한없음","",DATE(2000+VALUE(LEFT($H195,2)),VALUE(RIGHT($H195,1))*3+1,1)-1)</f>
        <v>46112</v>
      </c>
      <c r="N195" s="30" t="n">
        <f aca="false">IF($M195="","",$M195-이행현황요약!$B$3)</f>
        <v>-94</v>
      </c>
      <c r="O195" s="30" t="str">
        <f aca="false">IF($H195="기한없음","기한없음",IF($N195&lt;0,"기한초과",IF($N195&lt;=34,"긴급",IF($N195&lt;=120,"주의",IF($N195&lt;=240,"관찰","여유")))))</f>
        <v>기한초과</v>
      </c>
      <c r="P195" s="30" t="s">
        <v>68</v>
      </c>
    </row>
    <row r="196" customFormat="false" ht="33" hidden="false" customHeight="true" outlineLevel="0" collapsed="false">
      <c r="A196" s="21" t="s">
        <v>560</v>
      </c>
      <c r="B196" s="22" t="s">
        <v>653</v>
      </c>
      <c r="C196" s="21" t="s">
        <v>776</v>
      </c>
      <c r="D196" s="21" t="s">
        <v>777</v>
      </c>
      <c r="E196" s="23" t="s">
        <v>778</v>
      </c>
      <c r="F196" s="23" t="s">
        <v>289</v>
      </c>
      <c r="G196" s="24" t="s">
        <v>779</v>
      </c>
      <c r="H196" s="25" t="n">
        <v>26.1</v>
      </c>
      <c r="I196" s="26" t="s">
        <v>34</v>
      </c>
      <c r="J196" s="27"/>
      <c r="K196" s="26" t="s">
        <v>780</v>
      </c>
      <c r="L196" s="27" t="s">
        <v>125</v>
      </c>
      <c r="M196" s="28" t="n">
        <f aca="false">IF($H196="기한없음","",DATE(2000+VALUE(LEFT($H196,2)),VALUE(RIGHT($H196,1))*3+1,1)-1)</f>
        <v>46112</v>
      </c>
      <c r="N196" s="30" t="n">
        <f aca="false">IF($M196="","",$M196-이행현황요약!$B$3)</f>
        <v>-94</v>
      </c>
      <c r="O196" s="30" t="str">
        <f aca="false">IF($H196="기한없음","기한없음",IF($N196&lt;0,"기한초과",IF($N196&lt;=34,"긴급",IF($N196&lt;=120,"주의",IF($N196&lt;=240,"관찰","여유")))))</f>
        <v>기한초과</v>
      </c>
      <c r="P196" s="30" t="s">
        <v>68</v>
      </c>
    </row>
    <row r="197" customFormat="false" ht="66" hidden="false" customHeight="true" outlineLevel="0" collapsed="false">
      <c r="A197" s="21" t="s">
        <v>560</v>
      </c>
      <c r="B197" s="22" t="s">
        <v>653</v>
      </c>
      <c r="C197" s="21" t="s">
        <v>776</v>
      </c>
      <c r="D197" s="21" t="s">
        <v>781</v>
      </c>
      <c r="E197" s="23" t="s">
        <v>782</v>
      </c>
      <c r="F197" s="23" t="s">
        <v>289</v>
      </c>
      <c r="G197" s="31" t="s">
        <v>783</v>
      </c>
      <c r="H197" s="25" t="n">
        <v>26.1</v>
      </c>
      <c r="I197" s="26" t="s">
        <v>34</v>
      </c>
      <c r="J197" s="27"/>
      <c r="K197" s="26" t="s">
        <v>784</v>
      </c>
      <c r="L197" s="27" t="s">
        <v>125</v>
      </c>
      <c r="M197" s="28" t="n">
        <f aca="false">IF($H197="기한없음","",DATE(2000+VALUE(LEFT($H197,2)),VALUE(RIGHT($H197,1))*3+1,1)-1)</f>
        <v>46112</v>
      </c>
      <c r="N197" s="30" t="n">
        <f aca="false">IF($M197="","",$M197-이행현황요약!$B$3)</f>
        <v>-94</v>
      </c>
      <c r="O197" s="30" t="str">
        <f aca="false">IF($H197="기한없음","기한없음",IF($N197&lt;0,"기한초과",IF($N197&lt;=34,"긴급",IF($N197&lt;=120,"주의",IF($N197&lt;=240,"관찰","여유")))))</f>
        <v>기한초과</v>
      </c>
      <c r="P197" s="30" t="s">
        <v>68</v>
      </c>
    </row>
    <row r="198" customFormat="false" ht="33" hidden="false" customHeight="true" outlineLevel="0" collapsed="false">
      <c r="A198" s="21" t="s">
        <v>560</v>
      </c>
      <c r="B198" s="22" t="s">
        <v>653</v>
      </c>
      <c r="C198" s="21" t="s">
        <v>785</v>
      </c>
      <c r="D198" s="21" t="s">
        <v>786</v>
      </c>
      <c r="E198" s="21" t="s">
        <v>787</v>
      </c>
      <c r="F198" s="23" t="s">
        <v>289</v>
      </c>
      <c r="G198" s="24" t="s">
        <v>788</v>
      </c>
      <c r="H198" s="25" t="n">
        <v>26.3</v>
      </c>
      <c r="I198" s="26" t="s">
        <v>789</v>
      </c>
      <c r="J198" s="27" t="s">
        <v>94</v>
      </c>
      <c r="K198" s="26" t="s">
        <v>34</v>
      </c>
      <c r="L198" s="27" t="s">
        <v>125</v>
      </c>
      <c r="M198" s="28" t="n">
        <f aca="false">IF($H198="기한없음","",DATE(2000+VALUE(LEFT($H198,2)),VALUE(RIGHT($H198,1))*3+1,1)-1)</f>
        <v>46295</v>
      </c>
      <c r="N198" s="30" t="n">
        <f aca="false">IF($M198="","",$M198-이행현황요약!$B$3)</f>
        <v>89</v>
      </c>
      <c r="O198" s="30" t="str">
        <f aca="false">IF($H198="기한없음","기한없음",IF($N198&lt;0,"기한초과",IF($N198&lt;=34,"긴급",IF($N198&lt;=120,"주의",IF($N198&lt;=240,"관찰","여유")))))</f>
        <v>주의</v>
      </c>
      <c r="P198" s="30" t="s">
        <v>68</v>
      </c>
    </row>
    <row r="199" customFormat="false" ht="33" hidden="false" customHeight="true" outlineLevel="0" collapsed="false">
      <c r="A199" s="21" t="s">
        <v>560</v>
      </c>
      <c r="B199" s="22" t="s">
        <v>653</v>
      </c>
      <c r="C199" s="21" t="s">
        <v>785</v>
      </c>
      <c r="D199" s="21" t="s">
        <v>790</v>
      </c>
      <c r="E199" s="21" t="s">
        <v>791</v>
      </c>
      <c r="F199" s="23" t="s">
        <v>289</v>
      </c>
      <c r="G199" s="31" t="s">
        <v>792</v>
      </c>
      <c r="H199" s="25" t="n">
        <v>26.2</v>
      </c>
      <c r="I199" s="26" t="s">
        <v>34</v>
      </c>
      <c r="J199" s="27"/>
      <c r="K199" s="26" t="s">
        <v>793</v>
      </c>
      <c r="L199" s="27" t="s">
        <v>125</v>
      </c>
      <c r="M199" s="28" t="n">
        <f aca="false">IF($H199="기한없음","",DATE(2000+VALUE(LEFT($H199,2)),VALUE(RIGHT($H199,1))*3+1,1)-1)</f>
        <v>46203</v>
      </c>
      <c r="N199" s="30" t="n">
        <f aca="false">IF($M199="","",$M199-이행현황요약!$B$3)</f>
        <v>-3</v>
      </c>
      <c r="O199" s="30" t="str">
        <f aca="false">IF($H199="기한없음","기한없음",IF($N199&lt;0,"기한초과",IF($N199&lt;=34,"긴급",IF($N199&lt;=120,"주의",IF($N199&lt;=240,"관찰","여유")))))</f>
        <v>기한초과</v>
      </c>
      <c r="P199" s="30" t="s">
        <v>68</v>
      </c>
    </row>
    <row r="200" customFormat="false" ht="33" hidden="false" customHeight="true" outlineLevel="0" collapsed="false">
      <c r="A200" s="21" t="s">
        <v>560</v>
      </c>
      <c r="B200" s="22" t="s">
        <v>794</v>
      </c>
      <c r="C200" s="21" t="s">
        <v>795</v>
      </c>
      <c r="D200" s="21" t="s">
        <v>796</v>
      </c>
      <c r="E200" s="23" t="s">
        <v>797</v>
      </c>
      <c r="F200" s="23" t="s">
        <v>65</v>
      </c>
      <c r="G200" s="24" t="s">
        <v>798</v>
      </c>
      <c r="H200" s="25" t="n">
        <v>27.4</v>
      </c>
      <c r="I200" s="26" t="s">
        <v>34</v>
      </c>
      <c r="J200" s="27"/>
      <c r="K200" s="27"/>
      <c r="L200" s="27" t="s">
        <v>67</v>
      </c>
      <c r="M200" s="28" t="n">
        <f aca="false">IF($H200="기한없음","",DATE(2000+VALUE(LEFT($H200,2)),VALUE(RIGHT($H200,1))*3+1,1)-1)</f>
        <v>46752</v>
      </c>
      <c r="N200" s="30" t="n">
        <f aca="false">IF($M200="","",$M200-이행현황요약!$B$3)</f>
        <v>546</v>
      </c>
      <c r="O200" s="30" t="str">
        <f aca="false">IF($H200="기한없음","기한없음",IF($N200&lt;0,"기한초과",IF($N200&lt;=34,"긴급",IF($N200&lt;=120,"주의",IF($N200&lt;=240,"관찰","여유")))))</f>
        <v>여유</v>
      </c>
      <c r="P200" s="30" t="s">
        <v>68</v>
      </c>
    </row>
    <row r="201" customFormat="false" ht="33" hidden="false" customHeight="true" outlineLevel="0" collapsed="false">
      <c r="A201" s="21" t="s">
        <v>560</v>
      </c>
      <c r="B201" s="22" t="s">
        <v>794</v>
      </c>
      <c r="C201" s="21" t="s">
        <v>799</v>
      </c>
      <c r="D201" s="21" t="s">
        <v>800</v>
      </c>
      <c r="E201" s="23" t="s">
        <v>801</v>
      </c>
      <c r="F201" s="23" t="s">
        <v>802</v>
      </c>
      <c r="G201" s="31" t="s">
        <v>803</v>
      </c>
      <c r="H201" s="25" t="n">
        <v>26.1</v>
      </c>
      <c r="I201" s="26" t="s">
        <v>38</v>
      </c>
      <c r="J201" s="27"/>
      <c r="K201" s="26" t="s">
        <v>804</v>
      </c>
      <c r="L201" s="27" t="s">
        <v>332</v>
      </c>
      <c r="M201" s="28" t="n">
        <f aca="false">IF($H201="기한없음","",DATE(2000+VALUE(LEFT($H201,2)),VALUE(RIGHT($H201,1))*3+1,1)-1)</f>
        <v>46112</v>
      </c>
      <c r="N201" s="30" t="n">
        <f aca="false">IF($M201="","",$M201-이행현황요약!$B$3)</f>
        <v>-94</v>
      </c>
      <c r="O201" s="30" t="str">
        <f aca="false">IF($H201="기한없음","기한없음",IF($N201&lt;0,"기한초과",IF($N201&lt;=34,"긴급",IF($N201&lt;=120,"주의",IF($N201&lt;=240,"관찰","여유")))))</f>
        <v>기한초과</v>
      </c>
      <c r="P201" s="30" t="s">
        <v>68</v>
      </c>
    </row>
    <row r="202" customFormat="false" ht="66" hidden="false" customHeight="true" outlineLevel="0" collapsed="false">
      <c r="A202" s="21" t="s">
        <v>560</v>
      </c>
      <c r="B202" s="22" t="s">
        <v>794</v>
      </c>
      <c r="C202" s="21" t="s">
        <v>799</v>
      </c>
      <c r="D202" s="21" t="s">
        <v>805</v>
      </c>
      <c r="E202" s="23" t="s">
        <v>806</v>
      </c>
      <c r="F202" s="23" t="s">
        <v>802</v>
      </c>
      <c r="G202" s="31" t="s">
        <v>807</v>
      </c>
      <c r="H202" s="25" t="n">
        <v>26.1</v>
      </c>
      <c r="I202" s="26" t="s">
        <v>38</v>
      </c>
      <c r="J202" s="27"/>
      <c r="K202" s="26" t="s">
        <v>804</v>
      </c>
      <c r="L202" s="27" t="s">
        <v>332</v>
      </c>
      <c r="M202" s="28" t="n">
        <f aca="false">IF($H202="기한없음","",DATE(2000+VALUE(LEFT($H202,2)),VALUE(RIGHT($H202,1))*3+1,1)-1)</f>
        <v>46112</v>
      </c>
      <c r="N202" s="30" t="n">
        <f aca="false">IF($M202="","",$M202-이행현황요약!$B$3)</f>
        <v>-94</v>
      </c>
      <c r="O202" s="30" t="str">
        <f aca="false">IF($H202="기한없음","기한없음",IF($N202&lt;0,"기한초과",IF($N202&lt;=34,"긴급",IF($N202&lt;=120,"주의",IF($N202&lt;=240,"관찰","여유")))))</f>
        <v>기한초과</v>
      </c>
      <c r="P202" s="30" t="s">
        <v>68</v>
      </c>
    </row>
    <row r="203" customFormat="false" ht="66" hidden="false" customHeight="true" outlineLevel="0" collapsed="false">
      <c r="A203" s="21" t="s">
        <v>560</v>
      </c>
      <c r="B203" s="22" t="s">
        <v>794</v>
      </c>
      <c r="C203" s="21" t="s">
        <v>799</v>
      </c>
      <c r="D203" s="21" t="s">
        <v>808</v>
      </c>
      <c r="E203" s="23" t="s">
        <v>809</v>
      </c>
      <c r="F203" s="23" t="s">
        <v>802</v>
      </c>
      <c r="G203" s="31" t="s">
        <v>810</v>
      </c>
      <c r="H203" s="25" t="n">
        <v>26.3</v>
      </c>
      <c r="I203" s="26" t="s">
        <v>38</v>
      </c>
      <c r="J203" s="27"/>
      <c r="K203" s="26" t="s">
        <v>804</v>
      </c>
      <c r="L203" s="27" t="s">
        <v>332</v>
      </c>
      <c r="M203" s="28" t="n">
        <f aca="false">IF($H203="기한없음","",DATE(2000+VALUE(LEFT($H203,2)),VALUE(RIGHT($H203,1))*3+1,1)-1)</f>
        <v>46295</v>
      </c>
      <c r="N203" s="30" t="n">
        <f aca="false">IF($M203="","",$M203-이행현황요약!$B$3)</f>
        <v>89</v>
      </c>
      <c r="O203" s="30" t="str">
        <f aca="false">IF($H203="기한없음","기한없음",IF($N203&lt;0,"기한초과",IF($N203&lt;=34,"긴급",IF($N203&lt;=120,"주의",IF($N203&lt;=240,"관찰","여유")))))</f>
        <v>주의</v>
      </c>
      <c r="P203" s="30" t="s">
        <v>68</v>
      </c>
    </row>
    <row r="204" customFormat="false" ht="49.5" hidden="false" customHeight="true" outlineLevel="0" collapsed="false">
      <c r="A204" s="21" t="s">
        <v>560</v>
      </c>
      <c r="B204" s="22" t="s">
        <v>794</v>
      </c>
      <c r="C204" s="21" t="s">
        <v>799</v>
      </c>
      <c r="D204" s="21" t="s">
        <v>811</v>
      </c>
      <c r="E204" s="21" t="s">
        <v>812</v>
      </c>
      <c r="F204" s="23" t="s">
        <v>802</v>
      </c>
      <c r="G204" s="31" t="s">
        <v>813</v>
      </c>
      <c r="H204" s="25" t="n">
        <v>27.2</v>
      </c>
      <c r="I204" s="26" t="s">
        <v>38</v>
      </c>
      <c r="J204" s="27"/>
      <c r="K204" s="26" t="s">
        <v>804</v>
      </c>
      <c r="L204" s="27" t="s">
        <v>332</v>
      </c>
      <c r="M204" s="28" t="n">
        <f aca="false">IF($H204="기한없음","",DATE(2000+VALUE(LEFT($H204,2)),VALUE(RIGHT($H204,1))*3+1,1)-1)</f>
        <v>46568</v>
      </c>
      <c r="N204" s="30" t="n">
        <f aca="false">IF($M204="","",$M204-이행현황요약!$B$3)</f>
        <v>362</v>
      </c>
      <c r="O204" s="30" t="str">
        <f aca="false">IF($H204="기한없음","기한없음",IF($N204&lt;0,"기한초과",IF($N204&lt;=34,"긴급",IF($N204&lt;=120,"주의",IF($N204&lt;=240,"관찰","여유")))))</f>
        <v>여유</v>
      </c>
      <c r="P204" s="30" t="s">
        <v>68</v>
      </c>
    </row>
    <row r="205" customFormat="false" ht="66" hidden="false" customHeight="true" outlineLevel="0" collapsed="false">
      <c r="A205" s="21" t="s">
        <v>560</v>
      </c>
      <c r="B205" s="22" t="s">
        <v>794</v>
      </c>
      <c r="C205" s="21" t="s">
        <v>814</v>
      </c>
      <c r="D205" s="21" t="s">
        <v>815</v>
      </c>
      <c r="E205" s="23" t="s">
        <v>816</v>
      </c>
      <c r="F205" s="23" t="s">
        <v>138</v>
      </c>
      <c r="G205" s="31" t="s">
        <v>817</v>
      </c>
      <c r="H205" s="25" t="n">
        <v>26.1</v>
      </c>
      <c r="I205" s="26" t="s">
        <v>818</v>
      </c>
      <c r="J205" s="27" t="s">
        <v>94</v>
      </c>
      <c r="K205" s="26" t="s">
        <v>819</v>
      </c>
      <c r="L205" s="27" t="s">
        <v>125</v>
      </c>
      <c r="M205" s="28" t="n">
        <f aca="false">IF($H205="기한없음","",DATE(2000+VALUE(LEFT($H205,2)),VALUE(RIGHT($H205,1))*3+1,1)-1)</f>
        <v>46112</v>
      </c>
      <c r="N205" s="30" t="n">
        <f aca="false">IF($M205="","",$M205-이행현황요약!$B$3)</f>
        <v>-94</v>
      </c>
      <c r="O205" s="30" t="str">
        <f aca="false">IF($H205="기한없음","기한없음",IF($N205&lt;0,"기한초과",IF($N205&lt;=34,"긴급",IF($N205&lt;=120,"주의",IF($N205&lt;=240,"관찰","여유")))))</f>
        <v>기한초과</v>
      </c>
      <c r="P205" s="30" t="s">
        <v>68</v>
      </c>
    </row>
    <row r="206" customFormat="false" ht="33" hidden="false" customHeight="true" outlineLevel="0" collapsed="false">
      <c r="A206" s="21" t="s">
        <v>560</v>
      </c>
      <c r="B206" s="22" t="s">
        <v>794</v>
      </c>
      <c r="C206" s="21" t="s">
        <v>814</v>
      </c>
      <c r="D206" s="21" t="s">
        <v>820</v>
      </c>
      <c r="E206" s="23" t="s">
        <v>821</v>
      </c>
      <c r="F206" s="23" t="s">
        <v>138</v>
      </c>
      <c r="G206" s="31" t="s">
        <v>822</v>
      </c>
      <c r="H206" s="25" t="n">
        <v>26.4</v>
      </c>
      <c r="I206" s="26" t="s">
        <v>819</v>
      </c>
      <c r="J206" s="27"/>
      <c r="K206" s="26" t="s">
        <v>85</v>
      </c>
      <c r="L206" s="27" t="s">
        <v>125</v>
      </c>
      <c r="M206" s="28" t="n">
        <f aca="false">IF($H206="기한없음","",DATE(2000+VALUE(LEFT($H206,2)),VALUE(RIGHT($H206,1))*3+1,1)-1)</f>
        <v>46387</v>
      </c>
      <c r="N206" s="30" t="n">
        <f aca="false">IF($M206="","",$M206-이행현황요약!$B$3)</f>
        <v>181</v>
      </c>
      <c r="O206" s="30" t="str">
        <f aca="false">IF($H206="기한없음","기한없음",IF($N206&lt;0,"기한초과",IF($N206&lt;=34,"긴급",IF($N206&lt;=120,"주의",IF($N206&lt;=240,"관찰","여유")))))</f>
        <v>관찰</v>
      </c>
      <c r="P206" s="30" t="s">
        <v>68</v>
      </c>
    </row>
    <row r="207" customFormat="false" ht="82.5" hidden="false" customHeight="true" outlineLevel="0" collapsed="false">
      <c r="A207" s="21" t="s">
        <v>560</v>
      </c>
      <c r="B207" s="22" t="s">
        <v>794</v>
      </c>
      <c r="C207" s="21" t="s">
        <v>814</v>
      </c>
      <c r="D207" s="21" t="s">
        <v>823</v>
      </c>
      <c r="E207" s="23" t="s">
        <v>824</v>
      </c>
      <c r="F207" s="23" t="s">
        <v>138</v>
      </c>
      <c r="G207" s="31" t="s">
        <v>825</v>
      </c>
      <c r="H207" s="25" t="n">
        <v>27.1</v>
      </c>
      <c r="I207" s="26" t="s">
        <v>826</v>
      </c>
      <c r="J207" s="27" t="s">
        <v>94</v>
      </c>
      <c r="K207" s="26" t="s">
        <v>827</v>
      </c>
      <c r="L207" s="27" t="s">
        <v>125</v>
      </c>
      <c r="M207" s="28" t="n">
        <f aca="false">IF($H207="기한없음","",DATE(2000+VALUE(LEFT($H207,2)),VALUE(RIGHT($H207,1))*3+1,1)-1)</f>
        <v>46477</v>
      </c>
      <c r="N207" s="30" t="n">
        <f aca="false">IF($M207="","",$M207-이행현황요약!$B$3)</f>
        <v>271</v>
      </c>
      <c r="O207" s="30" t="str">
        <f aca="false">IF($H207="기한없음","기한없음",IF($N207&lt;0,"기한초과",IF($N207&lt;=34,"긴급",IF($N207&lt;=120,"주의",IF($N207&lt;=240,"관찰","여유")))))</f>
        <v>여유</v>
      </c>
      <c r="P207" s="30" t="s">
        <v>68</v>
      </c>
    </row>
    <row r="208" customFormat="false" ht="16.5" hidden="false" customHeight="true" outlineLevel="0" collapsed="false">
      <c r="A208" s="21" t="s">
        <v>560</v>
      </c>
      <c r="B208" s="22" t="s">
        <v>794</v>
      </c>
      <c r="C208" s="21" t="s">
        <v>814</v>
      </c>
      <c r="D208" s="21" t="s">
        <v>828</v>
      </c>
      <c r="E208" s="21" t="s">
        <v>829</v>
      </c>
      <c r="F208" s="23" t="s">
        <v>138</v>
      </c>
      <c r="G208" s="31" t="s">
        <v>830</v>
      </c>
      <c r="H208" s="25" t="n">
        <v>26.2</v>
      </c>
      <c r="I208" s="26" t="s">
        <v>308</v>
      </c>
      <c r="J208" s="27" t="s">
        <v>94</v>
      </c>
      <c r="K208" s="27"/>
      <c r="L208" s="27" t="s">
        <v>125</v>
      </c>
      <c r="M208" s="28" t="n">
        <f aca="false">IF($H208="기한없음","",DATE(2000+VALUE(LEFT($H208,2)),VALUE(RIGHT($H208,1))*3+1,1)-1)</f>
        <v>46203</v>
      </c>
      <c r="N208" s="30" t="n">
        <f aca="false">IF($M208="","",$M208-이행현황요약!$B$3)</f>
        <v>-3</v>
      </c>
      <c r="O208" s="30" t="str">
        <f aca="false">IF($H208="기한없음","기한없음",IF($N208&lt;0,"기한초과",IF($N208&lt;=34,"긴급",IF($N208&lt;=120,"주의",IF($N208&lt;=240,"관찰","여유")))))</f>
        <v>기한초과</v>
      </c>
      <c r="P208" s="30" t="s">
        <v>68</v>
      </c>
    </row>
    <row r="209" customFormat="false" ht="66" hidden="false" customHeight="true" outlineLevel="0" collapsed="false">
      <c r="A209" s="21" t="s">
        <v>560</v>
      </c>
      <c r="B209" s="22" t="s">
        <v>794</v>
      </c>
      <c r="C209" s="21" t="s">
        <v>814</v>
      </c>
      <c r="D209" s="21" t="s">
        <v>831</v>
      </c>
      <c r="E209" s="23" t="s">
        <v>832</v>
      </c>
      <c r="F209" s="23" t="s">
        <v>138</v>
      </c>
      <c r="G209" s="31" t="s">
        <v>833</v>
      </c>
      <c r="H209" s="25" t="n">
        <v>27.1</v>
      </c>
      <c r="I209" s="26" t="s">
        <v>34</v>
      </c>
      <c r="J209" s="27"/>
      <c r="K209" s="26" t="s">
        <v>834</v>
      </c>
      <c r="L209" s="27" t="s">
        <v>125</v>
      </c>
      <c r="M209" s="28" t="n">
        <f aca="false">IF($H209="기한없음","",DATE(2000+VALUE(LEFT($H209,2)),VALUE(RIGHT($H209,1))*3+1,1)-1)</f>
        <v>46477</v>
      </c>
      <c r="N209" s="30" t="n">
        <f aca="false">IF($M209="","",$M209-이행현황요약!$B$3)</f>
        <v>271</v>
      </c>
      <c r="O209" s="30" t="str">
        <f aca="false">IF($H209="기한없음","기한없음",IF($N209&lt;0,"기한초과",IF($N209&lt;=34,"긴급",IF($N209&lt;=120,"주의",IF($N209&lt;=240,"관찰","여유")))))</f>
        <v>여유</v>
      </c>
      <c r="P209" s="30" t="s">
        <v>68</v>
      </c>
    </row>
    <row r="210" customFormat="false" ht="66" hidden="false" customHeight="true" outlineLevel="0" collapsed="false">
      <c r="A210" s="21" t="s">
        <v>560</v>
      </c>
      <c r="B210" s="22" t="s">
        <v>794</v>
      </c>
      <c r="C210" s="21" t="s">
        <v>814</v>
      </c>
      <c r="D210" s="21" t="s">
        <v>835</v>
      </c>
      <c r="E210" s="23" t="s">
        <v>836</v>
      </c>
      <c r="F210" s="23" t="s">
        <v>138</v>
      </c>
      <c r="G210" s="31" t="s">
        <v>837</v>
      </c>
      <c r="H210" s="25" t="n">
        <v>26.1</v>
      </c>
      <c r="I210" s="26" t="s">
        <v>838</v>
      </c>
      <c r="J210" s="27" t="s">
        <v>94</v>
      </c>
      <c r="K210" s="27"/>
      <c r="L210" s="27" t="s">
        <v>125</v>
      </c>
      <c r="M210" s="28" t="n">
        <f aca="false">IF($H210="기한없음","",DATE(2000+VALUE(LEFT($H210,2)),VALUE(RIGHT($H210,1))*3+1,1)-1)</f>
        <v>46112</v>
      </c>
      <c r="N210" s="30" t="n">
        <f aca="false">IF($M210="","",$M210-이행현황요약!$B$3)</f>
        <v>-94</v>
      </c>
      <c r="O210" s="30" t="str">
        <f aca="false">IF($H210="기한없음","기한없음",IF($N210&lt;0,"기한초과",IF($N210&lt;=34,"긴급",IF($N210&lt;=120,"주의",IF($N210&lt;=240,"관찰","여유")))))</f>
        <v>기한초과</v>
      </c>
      <c r="P210" s="30" t="s">
        <v>68</v>
      </c>
    </row>
    <row r="211" customFormat="false" ht="33" hidden="false" customHeight="true" outlineLevel="0" collapsed="false">
      <c r="A211" s="21" t="s">
        <v>560</v>
      </c>
      <c r="B211" s="22" t="s">
        <v>794</v>
      </c>
      <c r="C211" s="21" t="s">
        <v>814</v>
      </c>
      <c r="D211" s="21" t="s">
        <v>839</v>
      </c>
      <c r="E211" s="23" t="s">
        <v>840</v>
      </c>
      <c r="F211" s="23" t="s">
        <v>138</v>
      </c>
      <c r="G211" s="31" t="s">
        <v>841</v>
      </c>
      <c r="H211" s="25" t="n">
        <v>26.1</v>
      </c>
      <c r="I211" s="26" t="s">
        <v>34</v>
      </c>
      <c r="J211" s="27"/>
      <c r="K211" s="27"/>
      <c r="L211" s="27" t="s">
        <v>125</v>
      </c>
      <c r="M211" s="28" t="n">
        <f aca="false">IF($H211="기한없음","",DATE(2000+VALUE(LEFT($H211,2)),VALUE(RIGHT($H211,1))*3+1,1)-1)</f>
        <v>46112</v>
      </c>
      <c r="N211" s="30" t="n">
        <f aca="false">IF($M211="","",$M211-이행현황요약!$B$3)</f>
        <v>-94</v>
      </c>
      <c r="O211" s="30" t="str">
        <f aca="false">IF($H211="기한없음","기한없음",IF($N211&lt;0,"기한초과",IF($N211&lt;=34,"긴급",IF($N211&lt;=120,"주의",IF($N211&lt;=240,"관찰","여유")))))</f>
        <v>기한초과</v>
      </c>
      <c r="P211" s="30" t="s">
        <v>68</v>
      </c>
    </row>
    <row r="212" customFormat="false" ht="66" hidden="false" customHeight="true" outlineLevel="0" collapsed="false">
      <c r="A212" s="21" t="s">
        <v>560</v>
      </c>
      <c r="B212" s="22" t="s">
        <v>794</v>
      </c>
      <c r="C212" s="21" t="s">
        <v>814</v>
      </c>
      <c r="D212" s="21" t="s">
        <v>842</v>
      </c>
      <c r="E212" s="23" t="s">
        <v>843</v>
      </c>
      <c r="F212" s="23" t="s">
        <v>138</v>
      </c>
      <c r="G212" s="31" t="s">
        <v>844</v>
      </c>
      <c r="H212" s="25" t="n">
        <v>27.1</v>
      </c>
      <c r="I212" s="26" t="s">
        <v>845</v>
      </c>
      <c r="J212" s="27" t="s">
        <v>94</v>
      </c>
      <c r="K212" s="27"/>
      <c r="L212" s="27" t="s">
        <v>125</v>
      </c>
      <c r="M212" s="28" t="n">
        <f aca="false">IF($H212="기한없음","",DATE(2000+VALUE(LEFT($H212,2)),VALUE(RIGHT($H212,1))*3+1,1)-1)</f>
        <v>46477</v>
      </c>
      <c r="N212" s="30" t="n">
        <f aca="false">IF($M212="","",$M212-이행현황요약!$B$3)</f>
        <v>271</v>
      </c>
      <c r="O212" s="30" t="str">
        <f aca="false">IF($H212="기한없음","기한없음",IF($N212&lt;0,"기한초과",IF($N212&lt;=34,"긴급",IF($N212&lt;=120,"주의",IF($N212&lt;=240,"관찰","여유")))))</f>
        <v>여유</v>
      </c>
      <c r="P212" s="30" t="s">
        <v>68</v>
      </c>
    </row>
    <row r="213" customFormat="false" ht="66" hidden="false" customHeight="true" outlineLevel="0" collapsed="false">
      <c r="A213" s="21" t="s">
        <v>560</v>
      </c>
      <c r="B213" s="22" t="s">
        <v>794</v>
      </c>
      <c r="C213" s="21" t="s">
        <v>814</v>
      </c>
      <c r="D213" s="21" t="s">
        <v>846</v>
      </c>
      <c r="E213" s="23" t="s">
        <v>847</v>
      </c>
      <c r="F213" s="23" t="s">
        <v>138</v>
      </c>
      <c r="G213" s="31" t="s">
        <v>848</v>
      </c>
      <c r="H213" s="25" t="n">
        <v>26.1</v>
      </c>
      <c r="I213" s="26" t="s">
        <v>827</v>
      </c>
      <c r="J213" s="27"/>
      <c r="K213" s="27"/>
      <c r="L213" s="27" t="s">
        <v>125</v>
      </c>
      <c r="M213" s="28" t="n">
        <f aca="false">IF($H213="기한없음","",DATE(2000+VALUE(LEFT($H213,2)),VALUE(RIGHT($H213,1))*3+1,1)-1)</f>
        <v>46112</v>
      </c>
      <c r="N213" s="30" t="n">
        <f aca="false">IF($M213="","",$M213-이행현황요약!$B$3)</f>
        <v>-94</v>
      </c>
      <c r="O213" s="30" t="str">
        <f aca="false">IF($H213="기한없음","기한없음",IF($N213&lt;0,"기한초과",IF($N213&lt;=34,"긴급",IF($N213&lt;=120,"주의",IF($N213&lt;=240,"관찰","여유")))))</f>
        <v>기한초과</v>
      </c>
      <c r="P213" s="30" t="s">
        <v>68</v>
      </c>
    </row>
    <row r="214" customFormat="false" ht="82.5" hidden="false" customHeight="true" outlineLevel="0" collapsed="false">
      <c r="A214" s="21" t="s">
        <v>560</v>
      </c>
      <c r="B214" s="22" t="s">
        <v>794</v>
      </c>
      <c r="C214" s="21" t="s">
        <v>814</v>
      </c>
      <c r="D214" s="21" t="s">
        <v>849</v>
      </c>
      <c r="E214" s="23" t="s">
        <v>850</v>
      </c>
      <c r="F214" s="23" t="s">
        <v>138</v>
      </c>
      <c r="G214" s="31" t="s">
        <v>851</v>
      </c>
      <c r="H214" s="25" t="n">
        <v>26.2</v>
      </c>
      <c r="I214" s="26" t="s">
        <v>852</v>
      </c>
      <c r="J214" s="27"/>
      <c r="K214" s="27"/>
      <c r="L214" s="27" t="s">
        <v>125</v>
      </c>
      <c r="M214" s="28" t="n">
        <f aca="false">IF($H214="기한없음","",DATE(2000+VALUE(LEFT($H214,2)),VALUE(RIGHT($H214,1))*3+1,1)-1)</f>
        <v>46203</v>
      </c>
      <c r="N214" s="30" t="n">
        <f aca="false">IF($M214="","",$M214-이행현황요약!$B$3)</f>
        <v>-3</v>
      </c>
      <c r="O214" s="30" t="str">
        <f aca="false">IF($H214="기한없음","기한없음",IF($N214&lt;0,"기한초과",IF($N214&lt;=34,"긴급",IF($N214&lt;=120,"주의",IF($N214&lt;=240,"관찰","여유")))))</f>
        <v>기한초과</v>
      </c>
      <c r="P214" s="30" t="s">
        <v>68</v>
      </c>
    </row>
    <row r="215" customFormat="false" ht="33" hidden="false" customHeight="true" outlineLevel="0" collapsed="false">
      <c r="A215" s="21" t="s">
        <v>560</v>
      </c>
      <c r="B215" s="22" t="s">
        <v>794</v>
      </c>
      <c r="C215" s="21" t="s">
        <v>814</v>
      </c>
      <c r="D215" s="21" t="s">
        <v>853</v>
      </c>
      <c r="E215" s="23" t="s">
        <v>854</v>
      </c>
      <c r="F215" s="23" t="s">
        <v>138</v>
      </c>
      <c r="G215" s="31" t="s">
        <v>855</v>
      </c>
      <c r="H215" s="25" t="n">
        <v>27.1</v>
      </c>
      <c r="I215" s="26" t="s">
        <v>41</v>
      </c>
      <c r="J215" s="27"/>
      <c r="K215" s="26" t="s">
        <v>827</v>
      </c>
      <c r="L215" s="27" t="s">
        <v>125</v>
      </c>
      <c r="M215" s="28" t="n">
        <f aca="false">IF($H215="기한없음","",DATE(2000+VALUE(LEFT($H215,2)),VALUE(RIGHT($H215,1))*3+1,1)-1)</f>
        <v>46477</v>
      </c>
      <c r="N215" s="30" t="n">
        <f aca="false">IF($M215="","",$M215-이행현황요약!$B$3)</f>
        <v>271</v>
      </c>
      <c r="O215" s="30" t="str">
        <f aca="false">IF($H215="기한없음","기한없음",IF($N215&lt;0,"기한초과",IF($N215&lt;=34,"긴급",IF($N215&lt;=120,"주의",IF($N215&lt;=240,"관찰","여유")))))</f>
        <v>여유</v>
      </c>
      <c r="P215" s="30" t="s">
        <v>68</v>
      </c>
    </row>
    <row r="216" customFormat="false" ht="33" hidden="false" customHeight="true" outlineLevel="0" collapsed="false">
      <c r="A216" s="21" t="s">
        <v>560</v>
      </c>
      <c r="B216" s="22" t="s">
        <v>794</v>
      </c>
      <c r="C216" s="21" t="s">
        <v>856</v>
      </c>
      <c r="D216" s="21" t="s">
        <v>857</v>
      </c>
      <c r="E216" s="23" t="s">
        <v>858</v>
      </c>
      <c r="F216" s="21" t="s">
        <v>123</v>
      </c>
      <c r="G216" s="31" t="s">
        <v>859</v>
      </c>
      <c r="H216" s="25" t="n">
        <v>26.2</v>
      </c>
      <c r="I216" s="26" t="s">
        <v>36</v>
      </c>
      <c r="J216" s="27"/>
      <c r="K216" s="26" t="s">
        <v>34</v>
      </c>
      <c r="L216" s="27" t="s">
        <v>125</v>
      </c>
      <c r="M216" s="28" t="n">
        <f aca="false">IF($H216="기한없음","",DATE(2000+VALUE(LEFT($H216,2)),VALUE(RIGHT($H216,1))*3+1,1)-1)</f>
        <v>46203</v>
      </c>
      <c r="N216" s="30" t="n">
        <f aca="false">IF($M216="","",$M216-이행현황요약!$B$3)</f>
        <v>-3</v>
      </c>
      <c r="O216" s="30" t="str">
        <f aca="false">IF($H216="기한없음","기한없음",IF($N216&lt;0,"기한초과",IF($N216&lt;=34,"긴급",IF($N216&lt;=120,"주의",IF($N216&lt;=240,"관찰","여유")))))</f>
        <v>기한초과</v>
      </c>
      <c r="P216" s="30" t="s">
        <v>68</v>
      </c>
    </row>
    <row r="217" customFormat="false" ht="66" hidden="false" customHeight="true" outlineLevel="0" collapsed="false">
      <c r="A217" s="21" t="s">
        <v>560</v>
      </c>
      <c r="B217" s="22" t="s">
        <v>860</v>
      </c>
      <c r="C217" s="21" t="s">
        <v>861</v>
      </c>
      <c r="D217" s="21" t="s">
        <v>862</v>
      </c>
      <c r="E217" s="23" t="s">
        <v>863</v>
      </c>
      <c r="F217" s="23" t="s">
        <v>98</v>
      </c>
      <c r="G217" s="35" t="s">
        <v>864</v>
      </c>
      <c r="H217" s="25" t="n">
        <v>26.4</v>
      </c>
      <c r="I217" s="26" t="s">
        <v>169</v>
      </c>
      <c r="J217" s="27"/>
      <c r="K217" s="27"/>
      <c r="L217" s="27" t="s">
        <v>100</v>
      </c>
      <c r="M217" s="28" t="n">
        <f aca="false">IF($H217="기한없음","",DATE(2000+VALUE(LEFT($H217,2)),VALUE(RIGHT($H217,1))*3+1,1)-1)</f>
        <v>46387</v>
      </c>
      <c r="N217" s="30" t="n">
        <f aca="false">IF($M217="","",$M217-이행현황요약!$B$3)</f>
        <v>181</v>
      </c>
      <c r="O217" s="30" t="str">
        <f aca="false">IF($H217="기한없음","기한없음",IF($N217&lt;0,"기한초과",IF($N217&lt;=34,"긴급",IF($N217&lt;=120,"주의",IF($N217&lt;=240,"관찰","여유")))))</f>
        <v>관찰</v>
      </c>
      <c r="P217" s="30" t="s">
        <v>68</v>
      </c>
    </row>
    <row r="218" customFormat="false" ht="33" hidden="false" customHeight="true" outlineLevel="0" collapsed="false">
      <c r="A218" s="21" t="s">
        <v>560</v>
      </c>
      <c r="B218" s="22" t="s">
        <v>860</v>
      </c>
      <c r="C218" s="21" t="s">
        <v>861</v>
      </c>
      <c r="D218" s="21" t="s">
        <v>865</v>
      </c>
      <c r="E218" s="23" t="s">
        <v>866</v>
      </c>
      <c r="F218" s="23" t="s">
        <v>98</v>
      </c>
      <c r="G218" s="36" t="s">
        <v>867</v>
      </c>
      <c r="H218" s="25" t="n">
        <v>26.4</v>
      </c>
      <c r="I218" s="26" t="s">
        <v>169</v>
      </c>
      <c r="J218" s="27"/>
      <c r="K218" s="27"/>
      <c r="L218" s="27" t="s">
        <v>100</v>
      </c>
      <c r="M218" s="28" t="n">
        <f aca="false">IF($H218="기한없음","",DATE(2000+VALUE(LEFT($H218,2)),VALUE(RIGHT($H218,1))*3+1,1)-1)</f>
        <v>46387</v>
      </c>
      <c r="N218" s="30" t="n">
        <f aca="false">IF($M218="","",$M218-이행현황요약!$B$3)</f>
        <v>181</v>
      </c>
      <c r="O218" s="30" t="str">
        <f aca="false">IF($H218="기한없음","기한없음",IF($N218&lt;0,"기한초과",IF($N218&lt;=34,"긴급",IF($N218&lt;=120,"주의",IF($N218&lt;=240,"관찰","여유")))))</f>
        <v>관찰</v>
      </c>
      <c r="P218" s="30" t="s">
        <v>68</v>
      </c>
    </row>
    <row r="219" customFormat="false" ht="49.5" hidden="false" customHeight="true" outlineLevel="0" collapsed="false">
      <c r="A219" s="21" t="s">
        <v>560</v>
      </c>
      <c r="B219" s="22" t="s">
        <v>860</v>
      </c>
      <c r="C219" s="21" t="s">
        <v>861</v>
      </c>
      <c r="D219" s="21" t="s">
        <v>868</v>
      </c>
      <c r="E219" s="23" t="s">
        <v>869</v>
      </c>
      <c r="F219" s="23" t="s">
        <v>98</v>
      </c>
      <c r="G219" s="24" t="s">
        <v>870</v>
      </c>
      <c r="H219" s="25" t="n">
        <v>26.2</v>
      </c>
      <c r="I219" s="26" t="s">
        <v>169</v>
      </c>
      <c r="J219" s="27"/>
      <c r="K219" s="27"/>
      <c r="L219" s="27" t="s">
        <v>100</v>
      </c>
      <c r="M219" s="28" t="n">
        <f aca="false">IF($H219="기한없음","",DATE(2000+VALUE(LEFT($H219,2)),VALUE(RIGHT($H219,1))*3+1,1)-1)</f>
        <v>46203</v>
      </c>
      <c r="N219" s="30" t="n">
        <f aca="false">IF($M219="","",$M219-이행현황요약!$B$3)</f>
        <v>-3</v>
      </c>
      <c r="O219" s="30" t="str">
        <f aca="false">IF($H219="기한없음","기한없음",IF($N219&lt;0,"기한초과",IF($N219&lt;=34,"긴급",IF($N219&lt;=120,"주의",IF($N219&lt;=240,"관찰","여유")))))</f>
        <v>기한초과</v>
      </c>
      <c r="P219" s="30" t="s">
        <v>68</v>
      </c>
    </row>
    <row r="220" customFormat="false" ht="49.5" hidden="false" customHeight="true" outlineLevel="0" collapsed="false">
      <c r="A220" s="21" t="s">
        <v>560</v>
      </c>
      <c r="B220" s="22" t="s">
        <v>860</v>
      </c>
      <c r="C220" s="21" t="s">
        <v>861</v>
      </c>
      <c r="D220" s="21" t="s">
        <v>871</v>
      </c>
      <c r="E220" s="23" t="s">
        <v>872</v>
      </c>
      <c r="F220" s="23" t="s">
        <v>98</v>
      </c>
      <c r="G220" s="24" t="s">
        <v>873</v>
      </c>
      <c r="H220" s="25" t="n">
        <v>26.2</v>
      </c>
      <c r="I220" s="26" t="s">
        <v>34</v>
      </c>
      <c r="J220" s="27"/>
      <c r="K220" s="26" t="s">
        <v>38</v>
      </c>
      <c r="L220" s="27" t="s">
        <v>100</v>
      </c>
      <c r="M220" s="28" t="n">
        <f aca="false">IF($H220="기한없음","",DATE(2000+VALUE(LEFT($H220,2)),VALUE(RIGHT($H220,1))*3+1,1)-1)</f>
        <v>46203</v>
      </c>
      <c r="N220" s="30" t="n">
        <f aca="false">IF($M220="","",$M220-이행현황요약!$B$3)</f>
        <v>-3</v>
      </c>
      <c r="O220" s="30" t="str">
        <f aca="false">IF($H220="기한없음","기한없음",IF($N220&lt;0,"기한초과",IF($N220&lt;=34,"긴급",IF($N220&lt;=120,"주의",IF($N220&lt;=240,"관찰","여유")))))</f>
        <v>기한초과</v>
      </c>
      <c r="P220" s="30" t="s">
        <v>68</v>
      </c>
    </row>
    <row r="221" customFormat="false" ht="49.5" hidden="false" customHeight="true" outlineLevel="0" collapsed="false">
      <c r="A221" s="21" t="s">
        <v>560</v>
      </c>
      <c r="B221" s="22" t="s">
        <v>860</v>
      </c>
      <c r="C221" s="21" t="s">
        <v>874</v>
      </c>
      <c r="D221" s="21" t="s">
        <v>875</v>
      </c>
      <c r="E221" s="23" t="s">
        <v>876</v>
      </c>
      <c r="F221" s="23" t="s">
        <v>98</v>
      </c>
      <c r="G221" s="31" t="s">
        <v>877</v>
      </c>
      <c r="H221" s="25" t="n">
        <v>26.2</v>
      </c>
      <c r="I221" s="26" t="s">
        <v>44</v>
      </c>
      <c r="J221" s="27"/>
      <c r="K221" s="26" t="s">
        <v>878</v>
      </c>
      <c r="L221" s="27" t="s">
        <v>100</v>
      </c>
      <c r="M221" s="28" t="n">
        <f aca="false">IF($H221="기한없음","",DATE(2000+VALUE(LEFT($H221,2)),VALUE(RIGHT($H221,1))*3+1,1)-1)</f>
        <v>46203</v>
      </c>
      <c r="N221" s="30" t="n">
        <f aca="false">IF($M221="","",$M221-이행현황요약!$B$3)</f>
        <v>-3</v>
      </c>
      <c r="O221" s="30" t="str">
        <f aca="false">IF($H221="기한없음","기한없음",IF($N221&lt;0,"기한초과",IF($N221&lt;=34,"긴급",IF($N221&lt;=120,"주의",IF($N221&lt;=240,"관찰","여유")))))</f>
        <v>기한초과</v>
      </c>
      <c r="P221" s="30" t="s">
        <v>68</v>
      </c>
    </row>
    <row r="222" customFormat="false" ht="33" hidden="false" customHeight="true" outlineLevel="0" collapsed="false">
      <c r="A222" s="21" t="s">
        <v>560</v>
      </c>
      <c r="B222" s="22" t="s">
        <v>860</v>
      </c>
      <c r="C222" s="21" t="s">
        <v>874</v>
      </c>
      <c r="D222" s="21" t="s">
        <v>879</v>
      </c>
      <c r="E222" s="23" t="s">
        <v>880</v>
      </c>
      <c r="F222" s="23" t="s">
        <v>98</v>
      </c>
      <c r="G222" s="31" t="s">
        <v>881</v>
      </c>
      <c r="H222" s="25" t="n">
        <v>26.4</v>
      </c>
      <c r="I222" s="26" t="s">
        <v>34</v>
      </c>
      <c r="J222" s="27"/>
      <c r="K222" s="26" t="s">
        <v>44</v>
      </c>
      <c r="L222" s="27" t="s">
        <v>100</v>
      </c>
      <c r="M222" s="28" t="n">
        <f aca="false">IF($H222="기한없음","",DATE(2000+VALUE(LEFT($H222,2)),VALUE(RIGHT($H222,1))*3+1,1)-1)</f>
        <v>46387</v>
      </c>
      <c r="N222" s="30" t="n">
        <f aca="false">IF($M222="","",$M222-이행현황요약!$B$3)</f>
        <v>181</v>
      </c>
      <c r="O222" s="30" t="str">
        <f aca="false">IF($H222="기한없음","기한없음",IF($N222&lt;0,"기한초과",IF($N222&lt;=34,"긴급",IF($N222&lt;=120,"주의",IF($N222&lt;=240,"관찰","여유")))))</f>
        <v>관찰</v>
      </c>
      <c r="P222" s="30" t="s">
        <v>68</v>
      </c>
    </row>
    <row r="223" customFormat="false" ht="49.5" hidden="false" customHeight="true" outlineLevel="0" collapsed="false">
      <c r="A223" s="21" t="s">
        <v>560</v>
      </c>
      <c r="B223" s="22" t="s">
        <v>860</v>
      </c>
      <c r="C223" s="21" t="s">
        <v>874</v>
      </c>
      <c r="D223" s="21" t="s">
        <v>882</v>
      </c>
      <c r="E223" s="21" t="s">
        <v>883</v>
      </c>
      <c r="F223" s="23" t="s">
        <v>98</v>
      </c>
      <c r="G223" s="24" t="s">
        <v>884</v>
      </c>
      <c r="H223" s="25" t="n">
        <v>26.3</v>
      </c>
      <c r="I223" s="26" t="s">
        <v>44</v>
      </c>
      <c r="J223" s="27"/>
      <c r="K223" s="26" t="s">
        <v>34</v>
      </c>
      <c r="L223" s="27" t="s">
        <v>100</v>
      </c>
      <c r="M223" s="28" t="n">
        <f aca="false">IF($H223="기한없음","",DATE(2000+VALUE(LEFT($H223,2)),VALUE(RIGHT($H223,1))*3+1,1)-1)</f>
        <v>46295</v>
      </c>
      <c r="N223" s="30" t="n">
        <f aca="false">IF($M223="","",$M223-이행현황요약!$B$3)</f>
        <v>89</v>
      </c>
      <c r="O223" s="30" t="str">
        <f aca="false">IF($H223="기한없음","기한없음",IF($N223&lt;0,"기한초과",IF($N223&lt;=34,"긴급",IF($N223&lt;=120,"주의",IF($N223&lt;=240,"관찰","여유")))))</f>
        <v>주의</v>
      </c>
      <c r="P223" s="30" t="s">
        <v>68</v>
      </c>
    </row>
    <row r="224" customFormat="false" ht="49.5" hidden="false" customHeight="true" outlineLevel="0" collapsed="false">
      <c r="A224" s="21" t="s">
        <v>560</v>
      </c>
      <c r="B224" s="22" t="s">
        <v>860</v>
      </c>
      <c r="C224" s="21" t="s">
        <v>874</v>
      </c>
      <c r="D224" s="21" t="s">
        <v>885</v>
      </c>
      <c r="E224" s="21" t="s">
        <v>886</v>
      </c>
      <c r="F224" s="23" t="s">
        <v>98</v>
      </c>
      <c r="G224" s="31" t="s">
        <v>887</v>
      </c>
      <c r="H224" s="25" t="n">
        <v>26.2</v>
      </c>
      <c r="I224" s="26" t="s">
        <v>44</v>
      </c>
      <c r="J224" s="27"/>
      <c r="K224" s="27"/>
      <c r="L224" s="27" t="s">
        <v>100</v>
      </c>
      <c r="M224" s="28" t="n">
        <f aca="false">IF($H224="기한없음","",DATE(2000+VALUE(LEFT($H224,2)),VALUE(RIGHT($H224,1))*3+1,1)-1)</f>
        <v>46203</v>
      </c>
      <c r="N224" s="30" t="n">
        <f aca="false">IF($M224="","",$M224-이행현황요약!$B$3)</f>
        <v>-3</v>
      </c>
      <c r="O224" s="30" t="str">
        <f aca="false">IF($H224="기한없음","기한없음",IF($N224&lt;0,"기한초과",IF($N224&lt;=34,"긴급",IF($N224&lt;=120,"주의",IF($N224&lt;=240,"관찰","여유")))))</f>
        <v>기한초과</v>
      </c>
      <c r="P224" s="30" t="s">
        <v>68</v>
      </c>
    </row>
    <row r="225" customFormat="false" ht="33" hidden="false" customHeight="true" outlineLevel="0" collapsed="false">
      <c r="A225" s="21" t="s">
        <v>560</v>
      </c>
      <c r="B225" s="22" t="s">
        <v>860</v>
      </c>
      <c r="C225" s="21" t="s">
        <v>874</v>
      </c>
      <c r="D225" s="21" t="s">
        <v>888</v>
      </c>
      <c r="E225" s="23" t="s">
        <v>889</v>
      </c>
      <c r="F225" s="23" t="s">
        <v>98</v>
      </c>
      <c r="G225" s="24" t="s">
        <v>890</v>
      </c>
      <c r="H225" s="25" t="n">
        <v>26.1</v>
      </c>
      <c r="I225" s="26" t="s">
        <v>44</v>
      </c>
      <c r="J225" s="27"/>
      <c r="K225" s="27"/>
      <c r="L225" s="27" t="s">
        <v>100</v>
      </c>
      <c r="M225" s="28" t="n">
        <f aca="false">IF($H225="기한없음","",DATE(2000+VALUE(LEFT($H225,2)),VALUE(RIGHT($H225,1))*3+1,1)-1)</f>
        <v>46112</v>
      </c>
      <c r="N225" s="30" t="n">
        <f aca="false">IF($M225="","",$M225-이행현황요약!$B$3)</f>
        <v>-94</v>
      </c>
      <c r="O225" s="30" t="str">
        <f aca="false">IF($H225="기한없음","기한없음",IF($N225&lt;0,"기한초과",IF($N225&lt;=34,"긴급",IF($N225&lt;=120,"주의",IF($N225&lt;=240,"관찰","여유")))))</f>
        <v>기한초과</v>
      </c>
      <c r="P225" s="30" t="s">
        <v>68</v>
      </c>
    </row>
    <row r="226" customFormat="false" ht="66" hidden="false" customHeight="true" outlineLevel="0" collapsed="false">
      <c r="A226" s="21" t="s">
        <v>560</v>
      </c>
      <c r="B226" s="22" t="s">
        <v>860</v>
      </c>
      <c r="C226" s="21" t="s">
        <v>874</v>
      </c>
      <c r="D226" s="21" t="s">
        <v>891</v>
      </c>
      <c r="E226" s="23" t="s">
        <v>892</v>
      </c>
      <c r="F226" s="23" t="s">
        <v>98</v>
      </c>
      <c r="G226" s="24" t="s">
        <v>893</v>
      </c>
      <c r="H226" s="25" t="n">
        <v>26.3</v>
      </c>
      <c r="I226" s="26" t="s">
        <v>34</v>
      </c>
      <c r="J226" s="27"/>
      <c r="K226" s="26" t="s">
        <v>44</v>
      </c>
      <c r="L226" s="27" t="s">
        <v>100</v>
      </c>
      <c r="M226" s="28" t="n">
        <f aca="false">IF($H226="기한없음","",DATE(2000+VALUE(LEFT($H226,2)),VALUE(RIGHT($H226,1))*3+1,1)-1)</f>
        <v>46295</v>
      </c>
      <c r="N226" s="30" t="n">
        <f aca="false">IF($M226="","",$M226-이행현황요약!$B$3)</f>
        <v>89</v>
      </c>
      <c r="O226" s="30" t="str">
        <f aca="false">IF($H226="기한없음","기한없음",IF($N226&lt;0,"기한초과",IF($N226&lt;=34,"긴급",IF($N226&lt;=120,"주의",IF($N226&lt;=240,"관찰","여유")))))</f>
        <v>주의</v>
      </c>
      <c r="P226" s="30" t="s">
        <v>68</v>
      </c>
    </row>
    <row r="227" customFormat="false" ht="66" hidden="false" customHeight="true" outlineLevel="0" collapsed="false">
      <c r="A227" s="21" t="s">
        <v>560</v>
      </c>
      <c r="B227" s="22" t="s">
        <v>860</v>
      </c>
      <c r="C227" s="21" t="s">
        <v>894</v>
      </c>
      <c r="D227" s="21" t="s">
        <v>895</v>
      </c>
      <c r="E227" s="21" t="s">
        <v>896</v>
      </c>
      <c r="F227" s="23" t="s">
        <v>802</v>
      </c>
      <c r="G227" s="24" t="s">
        <v>897</v>
      </c>
      <c r="H227" s="32" t="s">
        <v>17</v>
      </c>
      <c r="I227" s="26" t="s">
        <v>898</v>
      </c>
      <c r="J227" s="27"/>
      <c r="K227" s="27"/>
      <c r="L227" s="27" t="s">
        <v>332</v>
      </c>
      <c r="M227" s="28" t="str">
        <f aca="false">IF($H227="기한없음","",DATE(2000+VALUE(LEFT($H227,2)),VALUE(RIGHT($H227,1))*3+1,1)-1)</f>
        <v/>
      </c>
      <c r="N227" s="30" t="str">
        <f aca="false">IF($M227="","",$M227-이행현황요약!$B$3)</f>
        <v/>
      </c>
      <c r="O227" s="30" t="str">
        <f aca="false">IF($H227="기한없음","기한없음",IF($N227&lt;0,"기한초과",IF($N227&lt;=34,"긴급",IF($N227&lt;=120,"주의",IF($N227&lt;=240,"관찰","여유")))))</f>
        <v>기한없음</v>
      </c>
      <c r="P227" s="30" t="s">
        <v>68</v>
      </c>
    </row>
    <row r="228" customFormat="false" ht="33" hidden="false" customHeight="true" outlineLevel="0" collapsed="false">
      <c r="A228" s="21" t="s">
        <v>560</v>
      </c>
      <c r="B228" s="22" t="s">
        <v>860</v>
      </c>
      <c r="C228" s="21" t="s">
        <v>894</v>
      </c>
      <c r="D228" s="21" t="s">
        <v>899</v>
      </c>
      <c r="E228" s="21" t="s">
        <v>900</v>
      </c>
      <c r="F228" s="23" t="s">
        <v>802</v>
      </c>
      <c r="G228" s="24" t="s">
        <v>901</v>
      </c>
      <c r="H228" s="32" t="s">
        <v>17</v>
      </c>
      <c r="I228" s="26" t="s">
        <v>898</v>
      </c>
      <c r="J228" s="27"/>
      <c r="K228" s="27"/>
      <c r="L228" s="27" t="s">
        <v>332</v>
      </c>
      <c r="M228" s="28" t="str">
        <f aca="false">IF($H228="기한없음","",DATE(2000+VALUE(LEFT($H228,2)),VALUE(RIGHT($H228,1))*3+1,1)-1)</f>
        <v/>
      </c>
      <c r="N228" s="30" t="str">
        <f aca="false">IF($M228="","",$M228-이행현황요약!$B$3)</f>
        <v/>
      </c>
      <c r="O228" s="30" t="str">
        <f aca="false">IF($H228="기한없음","기한없음",IF($N228&lt;0,"기한초과",IF($N228&lt;=34,"긴급",IF($N228&lt;=120,"주의",IF($N228&lt;=240,"관찰","여유")))))</f>
        <v>기한없음</v>
      </c>
      <c r="P228" s="30" t="s">
        <v>68</v>
      </c>
    </row>
    <row r="229" customFormat="false" ht="49.5" hidden="false" customHeight="true" outlineLevel="0" collapsed="false">
      <c r="A229" s="21" t="s">
        <v>560</v>
      </c>
      <c r="B229" s="22" t="s">
        <v>860</v>
      </c>
      <c r="C229" s="21" t="s">
        <v>902</v>
      </c>
      <c r="D229" s="21" t="s">
        <v>903</v>
      </c>
      <c r="E229" s="21" t="s">
        <v>904</v>
      </c>
      <c r="F229" s="23" t="s">
        <v>578</v>
      </c>
      <c r="G229" s="24" t="s">
        <v>905</v>
      </c>
      <c r="H229" s="32" t="s">
        <v>17</v>
      </c>
      <c r="I229" s="26" t="s">
        <v>34</v>
      </c>
      <c r="J229" s="27"/>
      <c r="K229" s="26" t="s">
        <v>156</v>
      </c>
      <c r="L229" s="26" t="s">
        <v>581</v>
      </c>
      <c r="M229" s="28" t="str">
        <f aca="false">IF($H229="기한없음","",DATE(2000+VALUE(LEFT($H229,2)),VALUE(RIGHT($H229,1))*3+1,1)-1)</f>
        <v/>
      </c>
      <c r="N229" s="30" t="str">
        <f aca="false">IF($M229="","",$M229-이행현황요약!$B$3)</f>
        <v/>
      </c>
      <c r="O229" s="30" t="str">
        <f aca="false">IF($H229="기한없음","기한없음",IF($N229&lt;0,"기한초과",IF($N229&lt;=34,"긴급",IF($N229&lt;=120,"주의",IF($N229&lt;=240,"관찰","여유")))))</f>
        <v>기한없음</v>
      </c>
      <c r="P229" s="30" t="s">
        <v>68</v>
      </c>
    </row>
    <row r="230" customFormat="false" ht="66" hidden="false" customHeight="true" outlineLevel="0" collapsed="false">
      <c r="A230" s="21" t="s">
        <v>560</v>
      </c>
      <c r="B230" s="22" t="s">
        <v>860</v>
      </c>
      <c r="C230" s="21" t="s">
        <v>902</v>
      </c>
      <c r="D230" s="21" t="s">
        <v>906</v>
      </c>
      <c r="E230" s="21" t="s">
        <v>907</v>
      </c>
      <c r="F230" s="23" t="s">
        <v>578</v>
      </c>
      <c r="G230" s="24" t="s">
        <v>908</v>
      </c>
      <c r="H230" s="25" t="n">
        <v>26.2</v>
      </c>
      <c r="I230" s="26" t="s">
        <v>34</v>
      </c>
      <c r="J230" s="27"/>
      <c r="K230" s="26" t="s">
        <v>156</v>
      </c>
      <c r="L230" s="26" t="s">
        <v>581</v>
      </c>
      <c r="M230" s="28" t="n">
        <f aca="false">IF($H230="기한없음","",DATE(2000+VALUE(LEFT($H230,2)),VALUE(RIGHT($H230,1))*3+1,1)-1)</f>
        <v>46203</v>
      </c>
      <c r="N230" s="30" t="n">
        <f aca="false">IF($M230="","",$M230-이행현황요약!$B$3)</f>
        <v>-3</v>
      </c>
      <c r="O230" s="30" t="str">
        <f aca="false">IF($H230="기한없음","기한없음",IF($N230&lt;0,"기한초과",IF($N230&lt;=34,"긴급",IF($N230&lt;=120,"주의",IF($N230&lt;=240,"관찰","여유")))))</f>
        <v>기한초과</v>
      </c>
      <c r="P230" s="30" t="s">
        <v>68</v>
      </c>
    </row>
    <row r="231" customFormat="false" ht="33" hidden="false" customHeight="true" outlineLevel="0" collapsed="false">
      <c r="A231" s="21" t="s">
        <v>560</v>
      </c>
      <c r="B231" s="22" t="s">
        <v>860</v>
      </c>
      <c r="C231" s="21" t="s">
        <v>902</v>
      </c>
      <c r="D231" s="21" t="s">
        <v>909</v>
      </c>
      <c r="E231" s="21" t="s">
        <v>910</v>
      </c>
      <c r="F231" s="23" t="s">
        <v>911</v>
      </c>
      <c r="G231" s="31" t="s">
        <v>912</v>
      </c>
      <c r="H231" s="25" t="n">
        <v>26.1</v>
      </c>
      <c r="I231" s="26" t="s">
        <v>156</v>
      </c>
      <c r="J231" s="27"/>
      <c r="K231" s="26" t="s">
        <v>913</v>
      </c>
      <c r="L231" s="26" t="s">
        <v>914</v>
      </c>
      <c r="M231" s="28" t="n">
        <f aca="false">IF($H231="기한없음","",DATE(2000+VALUE(LEFT($H231,2)),VALUE(RIGHT($H231,1))*3+1,1)-1)</f>
        <v>46112</v>
      </c>
      <c r="N231" s="30" t="n">
        <f aca="false">IF($M231="","",$M231-이행현황요약!$B$3)</f>
        <v>-94</v>
      </c>
      <c r="O231" s="30" t="str">
        <f aca="false">IF($H231="기한없음","기한없음",IF($N231&lt;0,"기한초과",IF($N231&lt;=34,"긴급",IF($N231&lt;=120,"주의",IF($N231&lt;=240,"관찰","여유")))))</f>
        <v>기한초과</v>
      </c>
      <c r="P231" s="30" t="s">
        <v>68</v>
      </c>
    </row>
    <row r="232" customFormat="false" ht="49.5" hidden="false" customHeight="true" outlineLevel="0" collapsed="false">
      <c r="A232" s="21" t="s">
        <v>560</v>
      </c>
      <c r="B232" s="22" t="s">
        <v>860</v>
      </c>
      <c r="C232" s="21" t="s">
        <v>915</v>
      </c>
      <c r="D232" s="21" t="s">
        <v>916</v>
      </c>
      <c r="E232" s="23" t="s">
        <v>917</v>
      </c>
      <c r="F232" s="23" t="s">
        <v>802</v>
      </c>
      <c r="G232" s="31" t="s">
        <v>918</v>
      </c>
      <c r="H232" s="32" t="s">
        <v>17</v>
      </c>
      <c r="I232" s="26" t="s">
        <v>919</v>
      </c>
      <c r="J232" s="27"/>
      <c r="K232" s="27"/>
      <c r="L232" s="27" t="s">
        <v>332</v>
      </c>
      <c r="M232" s="28" t="str">
        <f aca="false">IF($H232="기한없음","",DATE(2000+VALUE(LEFT($H232,2)),VALUE(RIGHT($H232,1))*3+1,1)-1)</f>
        <v/>
      </c>
      <c r="N232" s="30" t="str">
        <f aca="false">IF($M232="","",$M232-이행현황요약!$B$3)</f>
        <v/>
      </c>
      <c r="O232" s="30" t="str">
        <f aca="false">IF($H232="기한없음","기한없음",IF($N232&lt;0,"기한초과",IF($N232&lt;=34,"긴급",IF($N232&lt;=120,"주의",IF($N232&lt;=240,"관찰","여유")))))</f>
        <v>기한없음</v>
      </c>
      <c r="P232" s="30" t="s">
        <v>68</v>
      </c>
    </row>
    <row r="233" customFormat="false" ht="33" hidden="false" customHeight="true" outlineLevel="0" collapsed="false">
      <c r="A233" s="21" t="s">
        <v>560</v>
      </c>
      <c r="B233" s="22" t="s">
        <v>860</v>
      </c>
      <c r="C233" s="21" t="s">
        <v>915</v>
      </c>
      <c r="D233" s="21" t="s">
        <v>920</v>
      </c>
      <c r="E233" s="21" t="s">
        <v>921</v>
      </c>
      <c r="F233" s="23" t="s">
        <v>802</v>
      </c>
      <c r="G233" s="31" t="s">
        <v>922</v>
      </c>
      <c r="H233" s="25" t="n">
        <v>26.4</v>
      </c>
      <c r="I233" s="26" t="s">
        <v>919</v>
      </c>
      <c r="J233" s="27"/>
      <c r="K233" s="27"/>
      <c r="L233" s="27" t="s">
        <v>332</v>
      </c>
      <c r="M233" s="28" t="n">
        <f aca="false">IF($H233="기한없음","",DATE(2000+VALUE(LEFT($H233,2)),VALUE(RIGHT($H233,1))*3+1,1)-1)</f>
        <v>46387</v>
      </c>
      <c r="N233" s="30" t="n">
        <f aca="false">IF($M233="","",$M233-이행현황요약!$B$3)</f>
        <v>181</v>
      </c>
      <c r="O233" s="30" t="str">
        <f aca="false">IF($H233="기한없음","기한없음",IF($N233&lt;0,"기한초과",IF($N233&lt;=34,"긴급",IF($N233&lt;=120,"주의",IF($N233&lt;=240,"관찰","여유")))))</f>
        <v>관찰</v>
      </c>
      <c r="P233" s="30" t="s">
        <v>68</v>
      </c>
    </row>
    <row r="234" customFormat="false" ht="33" hidden="false" customHeight="true" outlineLevel="0" collapsed="false">
      <c r="A234" s="21" t="s">
        <v>560</v>
      </c>
      <c r="B234" s="22" t="s">
        <v>860</v>
      </c>
      <c r="C234" s="21" t="s">
        <v>915</v>
      </c>
      <c r="D234" s="21" t="s">
        <v>923</v>
      </c>
      <c r="E234" s="21" t="s">
        <v>924</v>
      </c>
      <c r="F234" s="23" t="s">
        <v>802</v>
      </c>
      <c r="G234" s="31" t="s">
        <v>925</v>
      </c>
      <c r="H234" s="25" t="n">
        <v>26.4</v>
      </c>
      <c r="I234" s="26" t="s">
        <v>919</v>
      </c>
      <c r="J234" s="27"/>
      <c r="K234" s="27"/>
      <c r="L234" s="27" t="s">
        <v>332</v>
      </c>
      <c r="M234" s="28" t="n">
        <f aca="false">IF($H234="기한없음","",DATE(2000+VALUE(LEFT($H234,2)),VALUE(RIGHT($H234,1))*3+1,1)-1)</f>
        <v>46387</v>
      </c>
      <c r="N234" s="30" t="n">
        <f aca="false">IF($M234="","",$M234-이행현황요약!$B$3)</f>
        <v>181</v>
      </c>
      <c r="O234" s="30" t="str">
        <f aca="false">IF($H234="기한없음","기한없음",IF($N234&lt;0,"기한초과",IF($N234&lt;=34,"긴급",IF($N234&lt;=120,"주의",IF($N234&lt;=240,"관찰","여유")))))</f>
        <v>관찰</v>
      </c>
      <c r="P234" s="30" t="s">
        <v>68</v>
      </c>
    </row>
    <row r="235" customFormat="false" ht="49.5" hidden="false" customHeight="true" outlineLevel="0" collapsed="false">
      <c r="A235" s="21" t="s">
        <v>560</v>
      </c>
      <c r="B235" s="22" t="s">
        <v>926</v>
      </c>
      <c r="C235" s="21" t="s">
        <v>927</v>
      </c>
      <c r="D235" s="21" t="s">
        <v>928</v>
      </c>
      <c r="E235" s="23" t="s">
        <v>929</v>
      </c>
      <c r="F235" s="23" t="s">
        <v>802</v>
      </c>
      <c r="G235" s="24" t="s">
        <v>930</v>
      </c>
      <c r="H235" s="32" t="s">
        <v>17</v>
      </c>
      <c r="I235" s="26" t="s">
        <v>931</v>
      </c>
      <c r="J235" s="27" t="s">
        <v>94</v>
      </c>
      <c r="K235" s="26" t="s">
        <v>932</v>
      </c>
      <c r="L235" s="27" t="s">
        <v>332</v>
      </c>
      <c r="M235" s="28" t="str">
        <f aca="false">IF($H235="기한없음","",DATE(2000+VALUE(LEFT($H235,2)),VALUE(RIGHT($H235,1))*3+1,1)-1)</f>
        <v/>
      </c>
      <c r="N235" s="30" t="str">
        <f aca="false">IF($M235="","",$M235-이행현황요약!$B$3)</f>
        <v/>
      </c>
      <c r="O235" s="30" t="str">
        <f aca="false">IF($H235="기한없음","기한없음",IF($N235&lt;0,"기한초과",IF($N235&lt;=34,"긴급",IF($N235&lt;=120,"주의",IF($N235&lt;=240,"관찰","여유")))))</f>
        <v>기한없음</v>
      </c>
      <c r="P235" s="30" t="s">
        <v>68</v>
      </c>
    </row>
    <row r="236" customFormat="false" ht="82.5" hidden="false" customHeight="true" outlineLevel="0" collapsed="false">
      <c r="A236" s="21" t="s">
        <v>560</v>
      </c>
      <c r="B236" s="22" t="s">
        <v>926</v>
      </c>
      <c r="C236" s="21" t="s">
        <v>927</v>
      </c>
      <c r="D236" s="21" t="s">
        <v>933</v>
      </c>
      <c r="E236" s="23" t="s">
        <v>934</v>
      </c>
      <c r="F236" s="23" t="s">
        <v>802</v>
      </c>
      <c r="G236" s="24" t="s">
        <v>935</v>
      </c>
      <c r="H236" s="25" t="n">
        <v>26.2</v>
      </c>
      <c r="I236" s="26" t="s">
        <v>931</v>
      </c>
      <c r="J236" s="27" t="s">
        <v>94</v>
      </c>
      <c r="K236" s="26" t="s">
        <v>936</v>
      </c>
      <c r="L236" s="27" t="s">
        <v>332</v>
      </c>
      <c r="M236" s="28" t="n">
        <f aca="false">IF($H236="기한없음","",DATE(2000+VALUE(LEFT($H236,2)),VALUE(RIGHT($H236,1))*3+1,1)-1)</f>
        <v>46203</v>
      </c>
      <c r="N236" s="30" t="n">
        <f aca="false">IF($M236="","",$M236-이행현황요약!$B$3)</f>
        <v>-3</v>
      </c>
      <c r="O236" s="30" t="str">
        <f aca="false">IF($H236="기한없음","기한없음",IF($N236&lt;0,"기한초과",IF($N236&lt;=34,"긴급",IF($N236&lt;=120,"주의",IF($N236&lt;=240,"관찰","여유")))))</f>
        <v>기한초과</v>
      </c>
      <c r="P236" s="30" t="s">
        <v>68</v>
      </c>
    </row>
    <row r="237" customFormat="false" ht="66" hidden="false" customHeight="true" outlineLevel="0" collapsed="false">
      <c r="A237" s="21" t="s">
        <v>560</v>
      </c>
      <c r="B237" s="22" t="s">
        <v>926</v>
      </c>
      <c r="C237" s="21" t="s">
        <v>927</v>
      </c>
      <c r="D237" s="21" t="s">
        <v>937</v>
      </c>
      <c r="E237" s="23" t="s">
        <v>938</v>
      </c>
      <c r="F237" s="23" t="s">
        <v>802</v>
      </c>
      <c r="G237" s="24" t="s">
        <v>939</v>
      </c>
      <c r="H237" s="25" t="n">
        <v>26.4</v>
      </c>
      <c r="I237" s="26" t="s">
        <v>38</v>
      </c>
      <c r="J237" s="27"/>
      <c r="K237" s="26" t="s">
        <v>940</v>
      </c>
      <c r="L237" s="27" t="s">
        <v>332</v>
      </c>
      <c r="M237" s="28" t="n">
        <f aca="false">IF($H237="기한없음","",DATE(2000+VALUE(LEFT($H237,2)),VALUE(RIGHT($H237,1))*3+1,1)-1)</f>
        <v>46387</v>
      </c>
      <c r="N237" s="30" t="n">
        <f aca="false">IF($M237="","",$M237-이행현황요약!$B$3)</f>
        <v>181</v>
      </c>
      <c r="O237" s="30" t="str">
        <f aca="false">IF($H237="기한없음","기한없음",IF($N237&lt;0,"기한초과",IF($N237&lt;=34,"긴급",IF($N237&lt;=120,"주의",IF($N237&lt;=240,"관찰","여유")))))</f>
        <v>관찰</v>
      </c>
      <c r="P237" s="30" t="s">
        <v>68</v>
      </c>
    </row>
    <row r="238" customFormat="false" ht="33" hidden="false" customHeight="true" outlineLevel="0" collapsed="false">
      <c r="A238" s="21" t="s">
        <v>560</v>
      </c>
      <c r="B238" s="22" t="s">
        <v>926</v>
      </c>
      <c r="C238" s="21" t="s">
        <v>927</v>
      </c>
      <c r="D238" s="21" t="s">
        <v>941</v>
      </c>
      <c r="E238" s="23" t="s">
        <v>942</v>
      </c>
      <c r="F238" s="23" t="s">
        <v>802</v>
      </c>
      <c r="G238" s="24" t="s">
        <v>943</v>
      </c>
      <c r="H238" s="25" t="n">
        <v>27.4</v>
      </c>
      <c r="I238" s="26" t="s">
        <v>944</v>
      </c>
      <c r="J238" s="27" t="s">
        <v>94</v>
      </c>
      <c r="K238" s="27"/>
      <c r="L238" s="27" t="s">
        <v>332</v>
      </c>
      <c r="M238" s="28" t="n">
        <f aca="false">IF($H238="기한없음","",DATE(2000+VALUE(LEFT($H238,2)),VALUE(RIGHT($H238,1))*3+1,1)-1)</f>
        <v>46752</v>
      </c>
      <c r="N238" s="30" t="n">
        <f aca="false">IF($M238="","",$M238-이행현황요약!$B$3)</f>
        <v>546</v>
      </c>
      <c r="O238" s="30" t="str">
        <f aca="false">IF($H238="기한없음","기한없음",IF($N238&lt;0,"기한초과",IF($N238&lt;=34,"긴급",IF($N238&lt;=120,"주의",IF($N238&lt;=240,"관찰","여유")))))</f>
        <v>여유</v>
      </c>
      <c r="P238" s="30" t="s">
        <v>68</v>
      </c>
    </row>
    <row r="239" customFormat="false" ht="66" hidden="false" customHeight="true" outlineLevel="0" collapsed="false">
      <c r="A239" s="21" t="s">
        <v>560</v>
      </c>
      <c r="B239" s="22" t="s">
        <v>926</v>
      </c>
      <c r="C239" s="21" t="s">
        <v>945</v>
      </c>
      <c r="D239" s="21" t="s">
        <v>946</v>
      </c>
      <c r="E239" s="23" t="s">
        <v>947</v>
      </c>
      <c r="F239" s="23" t="s">
        <v>802</v>
      </c>
      <c r="G239" s="24" t="s">
        <v>948</v>
      </c>
      <c r="H239" s="25" t="n">
        <v>26.1</v>
      </c>
      <c r="I239" s="26" t="s">
        <v>38</v>
      </c>
      <c r="J239" s="27"/>
      <c r="K239" s="26" t="s">
        <v>878</v>
      </c>
      <c r="L239" s="27" t="s">
        <v>332</v>
      </c>
      <c r="M239" s="28" t="n">
        <f aca="false">IF($H239="기한없음","",DATE(2000+VALUE(LEFT($H239,2)),VALUE(RIGHT($H239,1))*3+1,1)-1)</f>
        <v>46112</v>
      </c>
      <c r="N239" s="30" t="n">
        <f aca="false">IF($M239="","",$M239-이행현황요약!$B$3)</f>
        <v>-94</v>
      </c>
      <c r="O239" s="30" t="str">
        <f aca="false">IF($H239="기한없음","기한없음",IF($N239&lt;0,"기한초과",IF($N239&lt;=34,"긴급",IF($N239&lt;=120,"주의",IF($N239&lt;=240,"관찰","여유")))))</f>
        <v>기한초과</v>
      </c>
      <c r="P239" s="30" t="s">
        <v>68</v>
      </c>
    </row>
    <row r="240" customFormat="false" ht="66" hidden="false" customHeight="true" outlineLevel="0" collapsed="false">
      <c r="A240" s="21" t="s">
        <v>560</v>
      </c>
      <c r="B240" s="22" t="s">
        <v>926</v>
      </c>
      <c r="C240" s="21" t="s">
        <v>945</v>
      </c>
      <c r="D240" s="21" t="s">
        <v>949</v>
      </c>
      <c r="E240" s="21" t="s">
        <v>950</v>
      </c>
      <c r="F240" s="23" t="s">
        <v>802</v>
      </c>
      <c r="G240" s="24" t="s">
        <v>951</v>
      </c>
      <c r="H240" s="25" t="n">
        <v>27.4</v>
      </c>
      <c r="I240" s="26" t="s">
        <v>38</v>
      </c>
      <c r="J240" s="27"/>
      <c r="K240" s="26" t="s">
        <v>878</v>
      </c>
      <c r="L240" s="27" t="s">
        <v>332</v>
      </c>
      <c r="M240" s="28" t="n">
        <f aca="false">IF($H240="기한없음","",DATE(2000+VALUE(LEFT($H240,2)),VALUE(RIGHT($H240,1))*3+1,1)-1)</f>
        <v>46752</v>
      </c>
      <c r="N240" s="30" t="n">
        <f aca="false">IF($M240="","",$M240-이행현황요약!$B$3)</f>
        <v>546</v>
      </c>
      <c r="O240" s="30" t="str">
        <f aca="false">IF($H240="기한없음","기한없음",IF($N240&lt;0,"기한초과",IF($N240&lt;=34,"긴급",IF($N240&lt;=120,"주의",IF($N240&lt;=240,"관찰","여유")))))</f>
        <v>여유</v>
      </c>
      <c r="P240" s="30" t="s">
        <v>68</v>
      </c>
    </row>
    <row r="241" customFormat="false" ht="82.5" hidden="false" customHeight="true" outlineLevel="0" collapsed="false">
      <c r="A241" s="21" t="s">
        <v>560</v>
      </c>
      <c r="B241" s="22" t="s">
        <v>926</v>
      </c>
      <c r="C241" s="21" t="s">
        <v>945</v>
      </c>
      <c r="D241" s="21" t="s">
        <v>952</v>
      </c>
      <c r="E241" s="23" t="s">
        <v>953</v>
      </c>
      <c r="F241" s="23" t="s">
        <v>802</v>
      </c>
      <c r="G241" s="24" t="s">
        <v>954</v>
      </c>
      <c r="H241" s="25" t="n">
        <v>26.2</v>
      </c>
      <c r="I241" s="26" t="s">
        <v>38</v>
      </c>
      <c r="J241" s="27"/>
      <c r="K241" s="27"/>
      <c r="L241" s="27" t="s">
        <v>332</v>
      </c>
      <c r="M241" s="28" t="n">
        <f aca="false">IF($H241="기한없음","",DATE(2000+VALUE(LEFT($H241,2)),VALUE(RIGHT($H241,1))*3+1,1)-1)</f>
        <v>46203</v>
      </c>
      <c r="N241" s="30" t="n">
        <f aca="false">IF($M241="","",$M241-이행현황요약!$B$3)</f>
        <v>-3</v>
      </c>
      <c r="O241" s="30" t="str">
        <f aca="false">IF($H241="기한없음","기한없음",IF($N241&lt;0,"기한초과",IF($N241&lt;=34,"긴급",IF($N241&lt;=120,"주의",IF($N241&lt;=240,"관찰","여유")))))</f>
        <v>기한초과</v>
      </c>
      <c r="P241" s="30" t="s">
        <v>68</v>
      </c>
    </row>
    <row r="242" customFormat="false" ht="49.5" hidden="false" customHeight="true" outlineLevel="0" collapsed="false">
      <c r="A242" s="21" t="s">
        <v>560</v>
      </c>
      <c r="B242" s="22" t="s">
        <v>926</v>
      </c>
      <c r="C242" s="21" t="s">
        <v>945</v>
      </c>
      <c r="D242" s="21" t="s">
        <v>955</v>
      </c>
      <c r="E242" s="23" t="s">
        <v>956</v>
      </c>
      <c r="F242" s="23" t="s">
        <v>802</v>
      </c>
      <c r="G242" s="24" t="s">
        <v>957</v>
      </c>
      <c r="H242" s="25" t="n">
        <v>26.4</v>
      </c>
      <c r="I242" s="26" t="s">
        <v>42</v>
      </c>
      <c r="J242" s="27"/>
      <c r="K242" s="26" t="s">
        <v>38</v>
      </c>
      <c r="L242" s="27" t="s">
        <v>332</v>
      </c>
      <c r="M242" s="28" t="n">
        <f aca="false">IF($H242="기한없음","",DATE(2000+VALUE(LEFT($H242,2)),VALUE(RIGHT($H242,1))*3+1,1)-1)</f>
        <v>46387</v>
      </c>
      <c r="N242" s="30" t="n">
        <f aca="false">IF($M242="","",$M242-이행현황요약!$B$3)</f>
        <v>181</v>
      </c>
      <c r="O242" s="30" t="str">
        <f aca="false">IF($H242="기한없음","기한없음",IF($N242&lt;0,"기한초과",IF($N242&lt;=34,"긴급",IF($N242&lt;=120,"주의",IF($N242&lt;=240,"관찰","여유")))))</f>
        <v>관찰</v>
      </c>
      <c r="P242" s="30" t="s">
        <v>68</v>
      </c>
    </row>
    <row r="243" customFormat="false" ht="33" hidden="false" customHeight="true" outlineLevel="0" collapsed="false">
      <c r="A243" s="21" t="s">
        <v>560</v>
      </c>
      <c r="B243" s="22" t="s">
        <v>926</v>
      </c>
      <c r="C243" s="21" t="s">
        <v>945</v>
      </c>
      <c r="D243" s="21" t="s">
        <v>958</v>
      </c>
      <c r="E243" s="23" t="s">
        <v>959</v>
      </c>
      <c r="F243" s="23" t="s">
        <v>802</v>
      </c>
      <c r="G243" s="24" t="s">
        <v>960</v>
      </c>
      <c r="H243" s="25" t="n">
        <v>26.1</v>
      </c>
      <c r="I243" s="26" t="s">
        <v>961</v>
      </c>
      <c r="J243" s="27" t="s">
        <v>94</v>
      </c>
      <c r="K243" s="27"/>
      <c r="L243" s="27" t="s">
        <v>332</v>
      </c>
      <c r="M243" s="28" t="n">
        <f aca="false">IF($H243="기한없음","",DATE(2000+VALUE(LEFT($H243,2)),VALUE(RIGHT($H243,1))*3+1,1)-1)</f>
        <v>46112</v>
      </c>
      <c r="N243" s="30" t="n">
        <f aca="false">IF($M243="","",$M243-이행현황요약!$B$3)</f>
        <v>-94</v>
      </c>
      <c r="O243" s="30" t="str">
        <f aca="false">IF($H243="기한없음","기한없음",IF($N243&lt;0,"기한초과",IF($N243&lt;=34,"긴급",IF($N243&lt;=120,"주의",IF($N243&lt;=240,"관찰","여유")))))</f>
        <v>기한초과</v>
      </c>
      <c r="P243" s="30" t="s">
        <v>68</v>
      </c>
    </row>
    <row r="244" customFormat="false" ht="49.5" hidden="false" customHeight="true" outlineLevel="0" collapsed="false">
      <c r="A244" s="21" t="s">
        <v>560</v>
      </c>
      <c r="B244" s="22" t="s">
        <v>926</v>
      </c>
      <c r="C244" s="21" t="s">
        <v>962</v>
      </c>
      <c r="D244" s="21" t="s">
        <v>963</v>
      </c>
      <c r="E244" s="23" t="s">
        <v>964</v>
      </c>
      <c r="F244" s="23" t="s">
        <v>802</v>
      </c>
      <c r="G244" s="24" t="s">
        <v>965</v>
      </c>
      <c r="H244" s="25" t="n">
        <v>26.3</v>
      </c>
      <c r="I244" s="26" t="s">
        <v>43</v>
      </c>
      <c r="J244" s="27"/>
      <c r="K244" s="26" t="s">
        <v>966</v>
      </c>
      <c r="L244" s="27" t="s">
        <v>332</v>
      </c>
      <c r="M244" s="28" t="n">
        <f aca="false">IF($H244="기한없음","",DATE(2000+VALUE(LEFT($H244,2)),VALUE(RIGHT($H244,1))*3+1,1)-1)</f>
        <v>46295</v>
      </c>
      <c r="N244" s="30" t="n">
        <f aca="false">IF($M244="","",$M244-이행현황요약!$B$3)</f>
        <v>89</v>
      </c>
      <c r="O244" s="30" t="str">
        <f aca="false">IF($H244="기한없음","기한없음",IF($N244&lt;0,"기한초과",IF($N244&lt;=34,"긴급",IF($N244&lt;=120,"주의",IF($N244&lt;=240,"관찰","여유")))))</f>
        <v>주의</v>
      </c>
      <c r="P244" s="30" t="s">
        <v>68</v>
      </c>
    </row>
    <row r="245" customFormat="false" ht="49.5" hidden="false" customHeight="true" outlineLevel="0" collapsed="false">
      <c r="A245" s="21" t="s">
        <v>560</v>
      </c>
      <c r="B245" s="22" t="s">
        <v>926</v>
      </c>
      <c r="C245" s="21" t="s">
        <v>962</v>
      </c>
      <c r="D245" s="21" t="s">
        <v>967</v>
      </c>
      <c r="E245" s="23" t="s">
        <v>968</v>
      </c>
      <c r="F245" s="23" t="s">
        <v>802</v>
      </c>
      <c r="G245" s="24" t="s">
        <v>969</v>
      </c>
      <c r="H245" s="25" t="n">
        <v>26.3</v>
      </c>
      <c r="I245" s="26" t="s">
        <v>43</v>
      </c>
      <c r="J245" s="27"/>
      <c r="K245" s="27"/>
      <c r="L245" s="27" t="s">
        <v>332</v>
      </c>
      <c r="M245" s="28" t="n">
        <f aca="false">IF($H245="기한없음","",DATE(2000+VALUE(LEFT($H245,2)),VALUE(RIGHT($H245,1))*3+1,1)-1)</f>
        <v>46295</v>
      </c>
      <c r="N245" s="30" t="n">
        <f aca="false">IF($M245="","",$M245-이행현황요약!$B$3)</f>
        <v>89</v>
      </c>
      <c r="O245" s="30" t="str">
        <f aca="false">IF($H245="기한없음","기한없음",IF($N245&lt;0,"기한초과",IF($N245&lt;=34,"긴급",IF($N245&lt;=120,"주의",IF($N245&lt;=240,"관찰","여유")))))</f>
        <v>주의</v>
      </c>
      <c r="P245" s="30" t="s">
        <v>68</v>
      </c>
    </row>
    <row r="246" customFormat="false" ht="33" hidden="false" customHeight="true" outlineLevel="0" collapsed="false">
      <c r="A246" s="21" t="s">
        <v>560</v>
      </c>
      <c r="B246" s="22" t="s">
        <v>926</v>
      </c>
      <c r="C246" s="21" t="s">
        <v>962</v>
      </c>
      <c r="D246" s="21" t="s">
        <v>970</v>
      </c>
      <c r="E246" s="23" t="s">
        <v>971</v>
      </c>
      <c r="F246" s="23" t="s">
        <v>802</v>
      </c>
      <c r="G246" s="31" t="s">
        <v>972</v>
      </c>
      <c r="H246" s="25" t="n">
        <v>26.3</v>
      </c>
      <c r="I246" s="26" t="s">
        <v>43</v>
      </c>
      <c r="J246" s="27"/>
      <c r="K246" s="27"/>
      <c r="L246" s="27" t="s">
        <v>332</v>
      </c>
      <c r="M246" s="28" t="n">
        <f aca="false">IF($H246="기한없음","",DATE(2000+VALUE(LEFT($H246,2)),VALUE(RIGHT($H246,1))*3+1,1)-1)</f>
        <v>46295</v>
      </c>
      <c r="N246" s="30" t="n">
        <f aca="false">IF($M246="","",$M246-이행현황요약!$B$3)</f>
        <v>89</v>
      </c>
      <c r="O246" s="30" t="str">
        <f aca="false">IF($H246="기한없음","기한없음",IF($N246&lt;0,"기한초과",IF($N246&lt;=34,"긴급",IF($N246&lt;=120,"주의",IF($N246&lt;=240,"관찰","여유")))))</f>
        <v>주의</v>
      </c>
      <c r="P246" s="30" t="s">
        <v>68</v>
      </c>
    </row>
    <row r="247" customFormat="false" ht="33" hidden="false" customHeight="true" outlineLevel="0" collapsed="false">
      <c r="A247" s="21" t="s">
        <v>560</v>
      </c>
      <c r="B247" s="22" t="s">
        <v>926</v>
      </c>
      <c r="C247" s="21" t="s">
        <v>962</v>
      </c>
      <c r="D247" s="21" t="s">
        <v>973</v>
      </c>
      <c r="E247" s="23" t="s">
        <v>974</v>
      </c>
      <c r="F247" s="23" t="s">
        <v>802</v>
      </c>
      <c r="G247" s="24" t="s">
        <v>975</v>
      </c>
      <c r="H247" s="32" t="s">
        <v>17</v>
      </c>
      <c r="I247" s="26" t="s">
        <v>43</v>
      </c>
      <c r="J247" s="27"/>
      <c r="K247" s="27"/>
      <c r="L247" s="27" t="s">
        <v>332</v>
      </c>
      <c r="M247" s="28" t="str">
        <f aca="false">IF($H247="기한없음","",DATE(2000+VALUE(LEFT($H247,2)),VALUE(RIGHT($H247,1))*3+1,1)-1)</f>
        <v/>
      </c>
      <c r="N247" s="30" t="str">
        <f aca="false">IF($M247="","",$M247-이행현황요약!$B$3)</f>
        <v/>
      </c>
      <c r="O247" s="30" t="str">
        <f aca="false">IF($H247="기한없음","기한없음",IF($N247&lt;0,"기한초과",IF($N247&lt;=34,"긴급",IF($N247&lt;=120,"주의",IF($N247&lt;=240,"관찰","여유")))))</f>
        <v>기한없음</v>
      </c>
      <c r="P247" s="30" t="s">
        <v>68</v>
      </c>
    </row>
    <row r="248" customFormat="false" ht="33" hidden="false" customHeight="true" outlineLevel="0" collapsed="false">
      <c r="A248" s="21" t="s">
        <v>560</v>
      </c>
      <c r="B248" s="22" t="s">
        <v>926</v>
      </c>
      <c r="C248" s="21" t="s">
        <v>962</v>
      </c>
      <c r="D248" s="21" t="s">
        <v>976</v>
      </c>
      <c r="E248" s="23" t="s">
        <v>977</v>
      </c>
      <c r="F248" s="23" t="s">
        <v>802</v>
      </c>
      <c r="G248" s="24" t="s">
        <v>978</v>
      </c>
      <c r="H248" s="25" t="n">
        <v>26.1</v>
      </c>
      <c r="I248" s="26" t="s">
        <v>979</v>
      </c>
      <c r="J248" s="27" t="s">
        <v>94</v>
      </c>
      <c r="K248" s="27"/>
      <c r="L248" s="27" t="s">
        <v>332</v>
      </c>
      <c r="M248" s="28" t="n">
        <f aca="false">IF($H248="기한없음","",DATE(2000+VALUE(LEFT($H248,2)),VALUE(RIGHT($H248,1))*3+1,1)-1)</f>
        <v>46112</v>
      </c>
      <c r="N248" s="30" t="n">
        <f aca="false">IF($M248="","",$M248-이행현황요약!$B$3)</f>
        <v>-94</v>
      </c>
      <c r="O248" s="30" t="str">
        <f aca="false">IF($H248="기한없음","기한없음",IF($N248&lt;0,"기한초과",IF($N248&lt;=34,"긴급",IF($N248&lt;=120,"주의",IF($N248&lt;=240,"관찰","여유")))))</f>
        <v>기한초과</v>
      </c>
      <c r="P248" s="30" t="s">
        <v>68</v>
      </c>
    </row>
    <row r="249" customFormat="false" ht="49.5" hidden="false" customHeight="true" outlineLevel="0" collapsed="false">
      <c r="A249" s="21" t="s">
        <v>560</v>
      </c>
      <c r="B249" s="22" t="s">
        <v>926</v>
      </c>
      <c r="C249" s="21" t="s">
        <v>980</v>
      </c>
      <c r="D249" s="21" t="s">
        <v>981</v>
      </c>
      <c r="E249" s="21" t="s">
        <v>982</v>
      </c>
      <c r="F249" s="23" t="s">
        <v>802</v>
      </c>
      <c r="G249" s="24" t="s">
        <v>983</v>
      </c>
      <c r="H249" s="25" t="n">
        <v>26.1</v>
      </c>
      <c r="I249" s="26" t="s">
        <v>984</v>
      </c>
      <c r="J249" s="27" t="s">
        <v>94</v>
      </c>
      <c r="K249" s="26" t="s">
        <v>819</v>
      </c>
      <c r="L249" s="27" t="s">
        <v>332</v>
      </c>
      <c r="M249" s="28" t="n">
        <f aca="false">IF($H249="기한없음","",DATE(2000+VALUE(LEFT($H249,2)),VALUE(RIGHT($H249,1))*3+1,1)-1)</f>
        <v>46112</v>
      </c>
      <c r="N249" s="30" t="n">
        <f aca="false">IF($M249="","",$M249-이행현황요약!$B$3)</f>
        <v>-94</v>
      </c>
      <c r="O249" s="30" t="str">
        <f aca="false">IF($H249="기한없음","기한없음",IF($N249&lt;0,"기한초과",IF($N249&lt;=34,"긴급",IF($N249&lt;=120,"주의",IF($N249&lt;=240,"관찰","여유")))))</f>
        <v>기한초과</v>
      </c>
      <c r="P249" s="30" t="s">
        <v>68</v>
      </c>
    </row>
    <row r="250" customFormat="false" ht="49.5" hidden="false" customHeight="true" outlineLevel="0" collapsed="false">
      <c r="A250" s="21" t="s">
        <v>985</v>
      </c>
      <c r="B250" s="22" t="s">
        <v>926</v>
      </c>
      <c r="C250" s="21" t="s">
        <v>980</v>
      </c>
      <c r="D250" s="21" t="s">
        <v>986</v>
      </c>
      <c r="E250" s="23" t="s">
        <v>987</v>
      </c>
      <c r="F250" s="23" t="s">
        <v>802</v>
      </c>
      <c r="G250" s="24" t="s">
        <v>988</v>
      </c>
      <c r="H250" s="32" t="s">
        <v>17</v>
      </c>
      <c r="I250" s="26" t="s">
        <v>36</v>
      </c>
      <c r="J250" s="27"/>
      <c r="K250" s="27"/>
      <c r="L250" s="27" t="s">
        <v>332</v>
      </c>
      <c r="M250" s="28" t="str">
        <f aca="false">IF($H250="기한없음","",DATE(2000+VALUE(LEFT($H250,2)),VALUE(RIGHT($H250,1))*3+1,1)-1)</f>
        <v/>
      </c>
      <c r="N250" s="30" t="str">
        <f aca="false">IF($M250="","",$M250-이행현황요약!$B$3)</f>
        <v/>
      </c>
      <c r="O250" s="30" t="str">
        <f aca="false">IF($H250="기한없음","기한없음",IF($N250&lt;0,"기한초과",IF($N250&lt;=34,"긴급",IF($N250&lt;=120,"주의",IF($N250&lt;=240,"관찰","여유")))))</f>
        <v>기한없음</v>
      </c>
      <c r="P250" s="30" t="s">
        <v>68</v>
      </c>
    </row>
    <row r="251" customFormat="false" ht="49.5" hidden="false" customHeight="true" outlineLevel="0" collapsed="false">
      <c r="A251" s="21" t="s">
        <v>985</v>
      </c>
      <c r="B251" s="22" t="s">
        <v>926</v>
      </c>
      <c r="C251" s="21" t="s">
        <v>980</v>
      </c>
      <c r="D251" s="21" t="s">
        <v>989</v>
      </c>
      <c r="E251" s="21" t="s">
        <v>990</v>
      </c>
      <c r="F251" s="23" t="s">
        <v>802</v>
      </c>
      <c r="G251" s="31" t="s">
        <v>991</v>
      </c>
      <c r="H251" s="32" t="s">
        <v>17</v>
      </c>
      <c r="I251" s="26" t="s">
        <v>34</v>
      </c>
      <c r="J251" s="27"/>
      <c r="K251" s="26" t="s">
        <v>992</v>
      </c>
      <c r="L251" s="27" t="s">
        <v>332</v>
      </c>
      <c r="M251" s="28" t="str">
        <f aca="false">IF($H251="기한없음","",DATE(2000+VALUE(LEFT($H251,2)),VALUE(RIGHT($H251,1))*3+1,1)-1)</f>
        <v/>
      </c>
      <c r="N251" s="30" t="str">
        <f aca="false">IF($M251="","",$M251-이행현황요약!$B$3)</f>
        <v/>
      </c>
      <c r="O251" s="30" t="str">
        <f aca="false">IF($H251="기한없음","기한없음",IF($N251&lt;0,"기한초과",IF($N251&lt;=34,"긴급",IF($N251&lt;=120,"주의",IF($N251&lt;=240,"관찰","여유")))))</f>
        <v>기한없음</v>
      </c>
      <c r="P251" s="30" t="s">
        <v>68</v>
      </c>
    </row>
    <row r="252" customFormat="false" ht="49.5" hidden="false" customHeight="true" outlineLevel="0" collapsed="false">
      <c r="A252" s="21" t="s">
        <v>985</v>
      </c>
      <c r="B252" s="22" t="s">
        <v>926</v>
      </c>
      <c r="C252" s="21" t="s">
        <v>993</v>
      </c>
      <c r="D252" s="21" t="s">
        <v>994</v>
      </c>
      <c r="E252" s="23" t="s">
        <v>995</v>
      </c>
      <c r="F252" s="23" t="s">
        <v>802</v>
      </c>
      <c r="G252" s="31" t="s">
        <v>996</v>
      </c>
      <c r="H252" s="25" t="n">
        <v>26.4</v>
      </c>
      <c r="I252" s="26" t="s">
        <v>45</v>
      </c>
      <c r="J252" s="27"/>
      <c r="K252" s="26" t="s">
        <v>104</v>
      </c>
      <c r="L252" s="27" t="s">
        <v>332</v>
      </c>
      <c r="M252" s="28" t="n">
        <f aca="false">IF($H252="기한없음","",DATE(2000+VALUE(LEFT($H252,2)),VALUE(RIGHT($H252,1))*3+1,1)-1)</f>
        <v>46387</v>
      </c>
      <c r="N252" s="30" t="n">
        <f aca="false">IF($M252="","",$M252-이행현황요약!$B$3)</f>
        <v>181</v>
      </c>
      <c r="O252" s="30" t="str">
        <f aca="false">IF($H252="기한없음","기한없음",IF($N252&lt;0,"기한초과",IF($N252&lt;=34,"긴급",IF($N252&lt;=120,"주의",IF($N252&lt;=240,"관찰","여유")))))</f>
        <v>관찰</v>
      </c>
      <c r="P252" s="30" t="s">
        <v>68</v>
      </c>
    </row>
    <row r="253" customFormat="false" ht="49.5" hidden="false" customHeight="true" outlineLevel="0" collapsed="false">
      <c r="A253" s="21" t="s">
        <v>985</v>
      </c>
      <c r="B253" s="22" t="s">
        <v>926</v>
      </c>
      <c r="C253" s="21" t="s">
        <v>993</v>
      </c>
      <c r="D253" s="21" t="s">
        <v>997</v>
      </c>
      <c r="E253" s="23" t="s">
        <v>998</v>
      </c>
      <c r="F253" s="23" t="s">
        <v>802</v>
      </c>
      <c r="G253" s="31" t="s">
        <v>999</v>
      </c>
      <c r="H253" s="25" t="n">
        <v>26.2</v>
      </c>
      <c r="I253" s="26" t="s">
        <v>45</v>
      </c>
      <c r="J253" s="27"/>
      <c r="K253" s="27"/>
      <c r="L253" s="27" t="s">
        <v>332</v>
      </c>
      <c r="M253" s="28" t="n">
        <f aca="false">IF($H253="기한없음","",DATE(2000+VALUE(LEFT($H253,2)),VALUE(RIGHT($H253,1))*3+1,1)-1)</f>
        <v>46203</v>
      </c>
      <c r="N253" s="30" t="n">
        <f aca="false">IF($M253="","",$M253-이행현황요약!$B$3)</f>
        <v>-3</v>
      </c>
      <c r="O253" s="30" t="str">
        <f aca="false">IF($H253="기한없음","기한없음",IF($N253&lt;0,"기한초과",IF($N253&lt;=34,"긴급",IF($N253&lt;=120,"주의",IF($N253&lt;=240,"관찰","여유")))))</f>
        <v>기한초과</v>
      </c>
      <c r="P253" s="30" t="s">
        <v>68</v>
      </c>
    </row>
    <row r="254" customFormat="false" ht="82.5" hidden="false" customHeight="true" outlineLevel="0" collapsed="false">
      <c r="A254" s="21" t="s">
        <v>985</v>
      </c>
      <c r="B254" s="22" t="s">
        <v>926</v>
      </c>
      <c r="C254" s="21" t="s">
        <v>993</v>
      </c>
      <c r="D254" s="21" t="s">
        <v>1000</v>
      </c>
      <c r="E254" s="23" t="s">
        <v>1001</v>
      </c>
      <c r="F254" s="23" t="s">
        <v>802</v>
      </c>
      <c r="G254" s="31" t="s">
        <v>1002</v>
      </c>
      <c r="H254" s="25" t="n">
        <v>26.1</v>
      </c>
      <c r="I254" s="26" t="s">
        <v>45</v>
      </c>
      <c r="J254" s="27"/>
      <c r="K254" s="27"/>
      <c r="L254" s="27" t="s">
        <v>332</v>
      </c>
      <c r="M254" s="28" t="n">
        <f aca="false">IF($H254="기한없음","",DATE(2000+VALUE(LEFT($H254,2)),VALUE(RIGHT($H254,1))*3+1,1)-1)</f>
        <v>46112</v>
      </c>
      <c r="N254" s="30" t="n">
        <f aca="false">IF($M254="","",$M254-이행현황요약!$B$3)</f>
        <v>-94</v>
      </c>
      <c r="O254" s="30" t="str">
        <f aca="false">IF($H254="기한없음","기한없음",IF($N254&lt;0,"기한초과",IF($N254&lt;=34,"긴급",IF($N254&lt;=120,"주의",IF($N254&lt;=240,"관찰","여유")))))</f>
        <v>기한초과</v>
      </c>
      <c r="P254" s="30" t="s">
        <v>68</v>
      </c>
    </row>
    <row r="255" customFormat="false" ht="33" hidden="false" customHeight="true" outlineLevel="0" collapsed="false">
      <c r="A255" s="21" t="s">
        <v>985</v>
      </c>
      <c r="B255" s="22" t="s">
        <v>926</v>
      </c>
      <c r="C255" s="21" t="s">
        <v>1003</v>
      </c>
      <c r="D255" s="21" t="s">
        <v>1004</v>
      </c>
      <c r="E255" s="23" t="s">
        <v>1005</v>
      </c>
      <c r="F255" s="23" t="s">
        <v>802</v>
      </c>
      <c r="G255" s="24" t="s">
        <v>1006</v>
      </c>
      <c r="H255" s="25" t="n">
        <v>26.1</v>
      </c>
      <c r="I255" s="26" t="s">
        <v>852</v>
      </c>
      <c r="J255" s="27"/>
      <c r="K255" s="27"/>
      <c r="L255" s="27" t="s">
        <v>332</v>
      </c>
      <c r="M255" s="28" t="n">
        <f aca="false">IF($H255="기한없음","",DATE(2000+VALUE(LEFT($H255,2)),VALUE(RIGHT($H255,1))*3+1,1)-1)</f>
        <v>46112</v>
      </c>
      <c r="N255" s="30" t="n">
        <f aca="false">IF($M255="","",$M255-이행현황요약!$B$3)</f>
        <v>-94</v>
      </c>
      <c r="O255" s="30" t="str">
        <f aca="false">IF($H255="기한없음","기한없음",IF($N255&lt;0,"기한초과",IF($N255&lt;=34,"긴급",IF($N255&lt;=120,"주의",IF($N255&lt;=240,"관찰","여유")))))</f>
        <v>기한초과</v>
      </c>
      <c r="P255" s="30" t="s">
        <v>68</v>
      </c>
    </row>
    <row r="256" customFormat="false" ht="33" hidden="false" customHeight="true" outlineLevel="0" collapsed="false">
      <c r="A256" s="21" t="s">
        <v>985</v>
      </c>
      <c r="B256" s="22" t="s">
        <v>926</v>
      </c>
      <c r="C256" s="21" t="s">
        <v>1003</v>
      </c>
      <c r="D256" s="21" t="s">
        <v>1007</v>
      </c>
      <c r="E256" s="23" t="s">
        <v>1008</v>
      </c>
      <c r="F256" s="23" t="s">
        <v>802</v>
      </c>
      <c r="G256" s="31" t="s">
        <v>1009</v>
      </c>
      <c r="H256" s="25" t="n">
        <v>26.3</v>
      </c>
      <c r="I256" s="26" t="s">
        <v>38</v>
      </c>
      <c r="J256" s="27"/>
      <c r="K256" s="26" t="s">
        <v>852</v>
      </c>
      <c r="L256" s="27" t="s">
        <v>332</v>
      </c>
      <c r="M256" s="28" t="n">
        <f aca="false">IF($H256="기한없음","",DATE(2000+VALUE(LEFT($H256,2)),VALUE(RIGHT($H256,1))*3+1,1)-1)</f>
        <v>46295</v>
      </c>
      <c r="N256" s="30" t="n">
        <f aca="false">IF($M256="","",$M256-이행현황요약!$B$3)</f>
        <v>89</v>
      </c>
      <c r="O256" s="30" t="str">
        <f aca="false">IF($H256="기한없음","기한없음",IF($N256&lt;0,"기한초과",IF($N256&lt;=34,"긴급",IF($N256&lt;=120,"주의",IF($N256&lt;=240,"관찰","여유")))))</f>
        <v>주의</v>
      </c>
      <c r="P256" s="30" t="s">
        <v>68</v>
      </c>
    </row>
    <row r="257" customFormat="false" ht="33" hidden="false" customHeight="true" outlineLevel="0" collapsed="false">
      <c r="A257" s="21" t="s">
        <v>985</v>
      </c>
      <c r="B257" s="22" t="s">
        <v>926</v>
      </c>
      <c r="C257" s="21" t="s">
        <v>1003</v>
      </c>
      <c r="D257" s="21" t="s">
        <v>1010</v>
      </c>
      <c r="E257" s="23" t="s">
        <v>1011</v>
      </c>
      <c r="F257" s="23" t="s">
        <v>802</v>
      </c>
      <c r="G257" s="31" t="s">
        <v>1012</v>
      </c>
      <c r="H257" s="25" t="n">
        <v>26.2</v>
      </c>
      <c r="I257" s="26" t="s">
        <v>852</v>
      </c>
      <c r="J257" s="27"/>
      <c r="K257" s="27"/>
      <c r="L257" s="27" t="s">
        <v>332</v>
      </c>
      <c r="M257" s="28" t="n">
        <f aca="false">IF($H257="기한없음","",DATE(2000+VALUE(LEFT($H257,2)),VALUE(RIGHT($H257,1))*3+1,1)-1)</f>
        <v>46203</v>
      </c>
      <c r="N257" s="30" t="n">
        <f aca="false">IF($M257="","",$M257-이행현황요약!$B$3)</f>
        <v>-3</v>
      </c>
      <c r="O257" s="30" t="str">
        <f aca="false">IF($H257="기한없음","기한없음",IF($N257&lt;0,"기한초과",IF($N257&lt;=34,"긴급",IF($N257&lt;=120,"주의",IF($N257&lt;=240,"관찰","여유")))))</f>
        <v>기한초과</v>
      </c>
      <c r="P257" s="30" t="s">
        <v>68</v>
      </c>
    </row>
    <row r="258" customFormat="false" ht="33" hidden="false" customHeight="true" outlineLevel="0" collapsed="false">
      <c r="A258" s="21" t="s">
        <v>985</v>
      </c>
      <c r="B258" s="22" t="s">
        <v>926</v>
      </c>
      <c r="C258" s="21" t="s">
        <v>1003</v>
      </c>
      <c r="D258" s="21" t="s">
        <v>1013</v>
      </c>
      <c r="E258" s="23" t="s">
        <v>1014</v>
      </c>
      <c r="F258" s="23" t="s">
        <v>802</v>
      </c>
      <c r="G258" s="31" t="s">
        <v>1015</v>
      </c>
      <c r="H258" s="25" t="n">
        <v>26.4</v>
      </c>
      <c r="I258" s="26" t="s">
        <v>852</v>
      </c>
      <c r="J258" s="27"/>
      <c r="K258" s="27"/>
      <c r="L258" s="27" t="s">
        <v>332</v>
      </c>
      <c r="M258" s="28" t="n">
        <f aca="false">IF($H258="기한없음","",DATE(2000+VALUE(LEFT($H258,2)),VALUE(RIGHT($H258,1))*3+1,1)-1)</f>
        <v>46387</v>
      </c>
      <c r="N258" s="30" t="n">
        <f aca="false">IF($M258="","",$M258-이행현황요약!$B$3)</f>
        <v>181</v>
      </c>
      <c r="O258" s="30" t="str">
        <f aca="false">IF($H258="기한없음","기한없음",IF($N258&lt;0,"기한초과",IF($N258&lt;=34,"긴급",IF($N258&lt;=120,"주의",IF($N258&lt;=240,"관찰","여유")))))</f>
        <v>관찰</v>
      </c>
      <c r="P258" s="30" t="s">
        <v>68</v>
      </c>
    </row>
    <row r="259" customFormat="false" ht="49.5" hidden="false" customHeight="true" outlineLevel="0" collapsed="false">
      <c r="A259" s="21" t="s">
        <v>985</v>
      </c>
      <c r="B259" s="22" t="s">
        <v>926</v>
      </c>
      <c r="C259" s="21" t="s">
        <v>1016</v>
      </c>
      <c r="D259" s="21" t="s">
        <v>1017</v>
      </c>
      <c r="E259" s="23" t="s">
        <v>1018</v>
      </c>
      <c r="F259" s="23" t="s">
        <v>802</v>
      </c>
      <c r="G259" s="31" t="s">
        <v>1019</v>
      </c>
      <c r="H259" s="32" t="s">
        <v>17</v>
      </c>
      <c r="I259" s="26" t="s">
        <v>85</v>
      </c>
      <c r="J259" s="27"/>
      <c r="K259" s="27"/>
      <c r="L259" s="27" t="s">
        <v>332</v>
      </c>
      <c r="M259" s="28" t="str">
        <f aca="false">IF($H259="기한없음","",DATE(2000+VALUE(LEFT($H259,2)),VALUE(RIGHT($H259,1))*3+1,1)-1)</f>
        <v/>
      </c>
      <c r="N259" s="30" t="str">
        <f aca="false">IF($M259="","",$M259-이행현황요약!$B$3)</f>
        <v/>
      </c>
      <c r="O259" s="30" t="str">
        <f aca="false">IF($H259="기한없음","기한없음",IF($N259&lt;0,"기한초과",IF($N259&lt;=34,"긴급",IF($N259&lt;=120,"주의",IF($N259&lt;=240,"관찰","여유")))))</f>
        <v>기한없음</v>
      </c>
      <c r="P259" s="30" t="s">
        <v>68</v>
      </c>
    </row>
    <row r="260" customFormat="false" ht="49.5" hidden="false" customHeight="true" outlineLevel="0" collapsed="false">
      <c r="A260" s="21" t="s">
        <v>985</v>
      </c>
      <c r="B260" s="22" t="s">
        <v>926</v>
      </c>
      <c r="C260" s="21" t="s">
        <v>1016</v>
      </c>
      <c r="D260" s="21" t="s">
        <v>1020</v>
      </c>
      <c r="E260" s="23" t="s">
        <v>1021</v>
      </c>
      <c r="F260" s="23" t="s">
        <v>802</v>
      </c>
      <c r="G260" s="31" t="s">
        <v>1022</v>
      </c>
      <c r="H260" s="32" t="s">
        <v>17</v>
      </c>
      <c r="I260" s="26" t="s">
        <v>85</v>
      </c>
      <c r="J260" s="27"/>
      <c r="K260" s="27"/>
      <c r="L260" s="27" t="s">
        <v>332</v>
      </c>
      <c r="M260" s="28" t="str">
        <f aca="false">IF($H260="기한없음","",DATE(2000+VALUE(LEFT($H260,2)),VALUE(RIGHT($H260,1))*3+1,1)-1)</f>
        <v/>
      </c>
      <c r="N260" s="30" t="str">
        <f aca="false">IF($M260="","",$M260-이행현황요약!$B$3)</f>
        <v/>
      </c>
      <c r="O260" s="30" t="str">
        <f aca="false">IF($H260="기한없음","기한없음",IF($N260&lt;0,"기한초과",IF($N260&lt;=34,"긴급",IF($N260&lt;=120,"주의",IF($N260&lt;=240,"관찰","여유")))))</f>
        <v>기한없음</v>
      </c>
      <c r="P260" s="30" t="s">
        <v>68</v>
      </c>
    </row>
    <row r="261" customFormat="false" ht="33" hidden="false" customHeight="true" outlineLevel="0" collapsed="false">
      <c r="A261" s="21" t="s">
        <v>985</v>
      </c>
      <c r="B261" s="22" t="s">
        <v>926</v>
      </c>
      <c r="C261" s="21" t="s">
        <v>1016</v>
      </c>
      <c r="D261" s="21" t="s">
        <v>1023</v>
      </c>
      <c r="E261" s="21" t="s">
        <v>1024</v>
      </c>
      <c r="F261" s="23" t="s">
        <v>802</v>
      </c>
      <c r="G261" s="24" t="s">
        <v>1025</v>
      </c>
      <c r="H261" s="25" t="n">
        <v>27.4</v>
      </c>
      <c r="I261" s="26" t="s">
        <v>85</v>
      </c>
      <c r="J261" s="27"/>
      <c r="K261" s="27"/>
      <c r="L261" s="27" t="s">
        <v>332</v>
      </c>
      <c r="M261" s="28" t="n">
        <f aca="false">IF($H261="기한없음","",DATE(2000+VALUE(LEFT($H261,2)),VALUE(RIGHT($H261,1))*3+1,1)-1)</f>
        <v>46752</v>
      </c>
      <c r="N261" s="30" t="n">
        <f aca="false">IF($M261="","",$M261-이행현황요약!$B$3)</f>
        <v>546</v>
      </c>
      <c r="O261" s="30" t="str">
        <f aca="false">IF($H261="기한없음","기한없음",IF($N261&lt;0,"기한초과",IF($N261&lt;=34,"긴급",IF($N261&lt;=120,"주의",IF($N261&lt;=240,"관찰","여유")))))</f>
        <v>여유</v>
      </c>
      <c r="P261" s="30" t="s">
        <v>68</v>
      </c>
    </row>
    <row r="262" customFormat="false" ht="33" hidden="false" customHeight="true" outlineLevel="0" collapsed="false">
      <c r="A262" s="21" t="s">
        <v>985</v>
      </c>
      <c r="B262" s="22" t="s">
        <v>926</v>
      </c>
      <c r="C262" s="21" t="s">
        <v>1026</v>
      </c>
      <c r="D262" s="21" t="s">
        <v>1027</v>
      </c>
      <c r="E262" s="21" t="s">
        <v>1028</v>
      </c>
      <c r="F262" s="23" t="s">
        <v>802</v>
      </c>
      <c r="G262" s="31" t="s">
        <v>1029</v>
      </c>
      <c r="H262" s="25" t="n">
        <v>26.1</v>
      </c>
      <c r="I262" s="26" t="s">
        <v>819</v>
      </c>
      <c r="J262" s="27"/>
      <c r="K262" s="26" t="s">
        <v>38</v>
      </c>
      <c r="L262" s="27" t="s">
        <v>332</v>
      </c>
      <c r="M262" s="28" t="n">
        <f aca="false">IF($H262="기한없음","",DATE(2000+VALUE(LEFT($H262,2)),VALUE(RIGHT($H262,1))*3+1,1)-1)</f>
        <v>46112</v>
      </c>
      <c r="N262" s="30" t="n">
        <f aca="false">IF($M262="","",$M262-이행현황요약!$B$3)</f>
        <v>-94</v>
      </c>
      <c r="O262" s="30" t="str">
        <f aca="false">IF($H262="기한없음","기한없음",IF($N262&lt;0,"기한초과",IF($N262&lt;=34,"긴급",IF($N262&lt;=120,"주의",IF($N262&lt;=240,"관찰","여유")))))</f>
        <v>기한초과</v>
      </c>
      <c r="P262" s="30" t="s">
        <v>68</v>
      </c>
    </row>
    <row r="263" customFormat="false" ht="33" hidden="false" customHeight="true" outlineLevel="0" collapsed="false">
      <c r="A263" s="21" t="s">
        <v>985</v>
      </c>
      <c r="B263" s="22" t="s">
        <v>926</v>
      </c>
      <c r="C263" s="21" t="s">
        <v>1030</v>
      </c>
      <c r="D263" s="21" t="s">
        <v>1031</v>
      </c>
      <c r="E263" s="21" t="s">
        <v>1032</v>
      </c>
      <c r="F263" s="23" t="s">
        <v>802</v>
      </c>
      <c r="G263" s="31" t="s">
        <v>1033</v>
      </c>
      <c r="H263" s="25" t="n">
        <v>26.3</v>
      </c>
      <c r="I263" s="26" t="s">
        <v>34</v>
      </c>
      <c r="J263" s="27"/>
      <c r="K263" s="26" t="s">
        <v>201</v>
      </c>
      <c r="L263" s="27" t="s">
        <v>332</v>
      </c>
      <c r="M263" s="28" t="n">
        <f aca="false">IF($H263="기한없음","",DATE(2000+VALUE(LEFT($H263,2)),VALUE(RIGHT($H263,1))*3+1,1)-1)</f>
        <v>46295</v>
      </c>
      <c r="N263" s="30" t="n">
        <f aca="false">IF($M263="","",$M263-이행현황요약!$B$3)</f>
        <v>89</v>
      </c>
      <c r="O263" s="30" t="str">
        <f aca="false">IF($H263="기한없음","기한없음",IF($N263&lt;0,"기한초과",IF($N263&lt;=34,"긴급",IF($N263&lt;=120,"주의",IF($N263&lt;=240,"관찰","여유")))))</f>
        <v>주의</v>
      </c>
      <c r="P263" s="30" t="s">
        <v>68</v>
      </c>
    </row>
    <row r="264" customFormat="false" ht="49.5" hidden="false" customHeight="true" outlineLevel="0" collapsed="false">
      <c r="A264" s="21" t="s">
        <v>985</v>
      </c>
      <c r="B264" s="22" t="s">
        <v>926</v>
      </c>
      <c r="C264" s="21" t="s">
        <v>1030</v>
      </c>
      <c r="D264" s="21" t="s">
        <v>1034</v>
      </c>
      <c r="E264" s="21" t="s">
        <v>1035</v>
      </c>
      <c r="F264" s="23" t="s">
        <v>802</v>
      </c>
      <c r="G264" s="31" t="s">
        <v>1036</v>
      </c>
      <c r="H264" s="25" t="n">
        <v>27.2</v>
      </c>
      <c r="I264" s="26" t="s">
        <v>34</v>
      </c>
      <c r="J264" s="27"/>
      <c r="K264" s="27"/>
      <c r="L264" s="27" t="s">
        <v>332</v>
      </c>
      <c r="M264" s="28" t="n">
        <f aca="false">IF($H264="기한없음","",DATE(2000+VALUE(LEFT($H264,2)),VALUE(RIGHT($H264,1))*3+1,1)-1)</f>
        <v>46568</v>
      </c>
      <c r="N264" s="30" t="n">
        <f aca="false">IF($M264="","",$M264-이행현황요약!$B$3)</f>
        <v>362</v>
      </c>
      <c r="O264" s="30" t="str">
        <f aca="false">IF($H264="기한없음","기한없음",IF($N264&lt;0,"기한초과",IF($N264&lt;=34,"긴급",IF($N264&lt;=120,"주의",IF($N264&lt;=240,"관찰","여유")))))</f>
        <v>여유</v>
      </c>
      <c r="P264" s="30" t="s">
        <v>68</v>
      </c>
    </row>
    <row r="265" customFormat="false" ht="33" hidden="false" customHeight="true" outlineLevel="0" collapsed="false">
      <c r="A265" s="21" t="s">
        <v>985</v>
      </c>
      <c r="B265" s="22" t="s">
        <v>926</v>
      </c>
      <c r="C265" s="21" t="s">
        <v>1037</v>
      </c>
      <c r="D265" s="21" t="s">
        <v>1038</v>
      </c>
      <c r="E265" s="21" t="s">
        <v>1039</v>
      </c>
      <c r="F265" s="23" t="s">
        <v>802</v>
      </c>
      <c r="G265" s="24" t="s">
        <v>1040</v>
      </c>
      <c r="H265" s="25" t="n">
        <v>26.1</v>
      </c>
      <c r="I265" s="26" t="s">
        <v>45</v>
      </c>
      <c r="J265" s="27"/>
      <c r="K265" s="27"/>
      <c r="L265" s="27" t="s">
        <v>332</v>
      </c>
      <c r="M265" s="28" t="n">
        <f aca="false">IF($H265="기한없음","",DATE(2000+VALUE(LEFT($H265,2)),VALUE(RIGHT($H265,1))*3+1,1)-1)</f>
        <v>46112</v>
      </c>
      <c r="N265" s="30" t="n">
        <f aca="false">IF($M265="","",$M265-이행현황요약!$B$3)</f>
        <v>-94</v>
      </c>
      <c r="O265" s="30" t="str">
        <f aca="false">IF($H265="기한없음","기한없음",IF($N265&lt;0,"기한초과",IF($N265&lt;=34,"긴급",IF($N265&lt;=120,"주의",IF($N265&lt;=240,"관찰","여유")))))</f>
        <v>기한초과</v>
      </c>
      <c r="P265" s="30" t="s">
        <v>68</v>
      </c>
    </row>
    <row r="266" customFormat="false" ht="33" hidden="false" customHeight="true" outlineLevel="0" collapsed="false">
      <c r="A266" s="21" t="s">
        <v>985</v>
      </c>
      <c r="B266" s="22" t="s">
        <v>926</v>
      </c>
      <c r="C266" s="21" t="s">
        <v>1037</v>
      </c>
      <c r="D266" s="21" t="s">
        <v>1041</v>
      </c>
      <c r="E266" s="21" t="s">
        <v>1042</v>
      </c>
      <c r="F266" s="23" t="s">
        <v>802</v>
      </c>
      <c r="G266" s="24" t="s">
        <v>1043</v>
      </c>
      <c r="H266" s="25" t="n">
        <v>26.2</v>
      </c>
      <c r="I266" s="26" t="s">
        <v>45</v>
      </c>
      <c r="J266" s="27"/>
      <c r="K266" s="27"/>
      <c r="L266" s="27" t="s">
        <v>332</v>
      </c>
      <c r="M266" s="28" t="n">
        <f aca="false">IF($H266="기한없음","",DATE(2000+VALUE(LEFT($H266,2)),VALUE(RIGHT($H266,1))*3+1,1)-1)</f>
        <v>46203</v>
      </c>
      <c r="N266" s="30" t="n">
        <f aca="false">IF($M266="","",$M266-이행현황요약!$B$3)</f>
        <v>-3</v>
      </c>
      <c r="O266" s="30" t="str">
        <f aca="false">IF($H266="기한없음","기한없음",IF($N266&lt;0,"기한초과",IF($N266&lt;=34,"긴급",IF($N266&lt;=120,"주의",IF($N266&lt;=240,"관찰","여유")))))</f>
        <v>기한초과</v>
      </c>
      <c r="P266" s="30" t="s">
        <v>68</v>
      </c>
    </row>
    <row r="267" customFormat="false" ht="33" hidden="false" customHeight="true" outlineLevel="0" collapsed="false">
      <c r="A267" s="21" t="s">
        <v>985</v>
      </c>
      <c r="B267" s="22" t="s">
        <v>926</v>
      </c>
      <c r="C267" s="21" t="s">
        <v>1044</v>
      </c>
      <c r="D267" s="21" t="s">
        <v>1045</v>
      </c>
      <c r="E267" s="21" t="s">
        <v>1046</v>
      </c>
      <c r="F267" s="23" t="s">
        <v>802</v>
      </c>
      <c r="G267" s="31" t="s">
        <v>1047</v>
      </c>
      <c r="H267" s="25" t="n">
        <v>26.2</v>
      </c>
      <c r="I267" s="26" t="s">
        <v>201</v>
      </c>
      <c r="J267" s="27"/>
      <c r="K267" s="26" t="s">
        <v>38</v>
      </c>
      <c r="L267" s="27" t="s">
        <v>332</v>
      </c>
      <c r="M267" s="28" t="n">
        <f aca="false">IF($H267="기한없음","",DATE(2000+VALUE(LEFT($H267,2)),VALUE(RIGHT($H267,1))*3+1,1)-1)</f>
        <v>46203</v>
      </c>
      <c r="N267" s="30" t="n">
        <f aca="false">IF($M267="","",$M267-이행현황요약!$B$3)</f>
        <v>-3</v>
      </c>
      <c r="O267" s="30" t="str">
        <f aca="false">IF($H267="기한없음","기한없음",IF($N267&lt;0,"기한초과",IF($N267&lt;=34,"긴급",IF($N267&lt;=120,"주의",IF($N267&lt;=240,"관찰","여유")))))</f>
        <v>기한초과</v>
      </c>
      <c r="P267" s="30" t="s">
        <v>68</v>
      </c>
    </row>
    <row r="268" customFormat="false" ht="33" hidden="false" customHeight="true" outlineLevel="0" collapsed="false">
      <c r="A268" s="21" t="s">
        <v>985</v>
      </c>
      <c r="B268" s="22" t="s">
        <v>926</v>
      </c>
      <c r="C268" s="21" t="s">
        <v>1044</v>
      </c>
      <c r="D268" s="21" t="s">
        <v>1048</v>
      </c>
      <c r="E268" s="21" t="s">
        <v>1049</v>
      </c>
      <c r="F268" s="23" t="s">
        <v>802</v>
      </c>
      <c r="G268" s="24" t="s">
        <v>1050</v>
      </c>
      <c r="H268" s="32" t="s">
        <v>17</v>
      </c>
      <c r="I268" s="26" t="s">
        <v>201</v>
      </c>
      <c r="J268" s="27"/>
      <c r="K268" s="27"/>
      <c r="L268" s="27" t="s">
        <v>332</v>
      </c>
      <c r="M268" s="28" t="str">
        <f aca="false">IF($H268="기한없음","",DATE(2000+VALUE(LEFT($H268,2)),VALUE(RIGHT($H268,1))*3+1,1)-1)</f>
        <v/>
      </c>
      <c r="N268" s="30" t="str">
        <f aca="false">IF($M268="","",$M268-이행현황요약!$B$3)</f>
        <v/>
      </c>
      <c r="O268" s="30" t="str">
        <f aca="false">IF($H268="기한없음","기한없음",IF($N268&lt;0,"기한초과",IF($N268&lt;=34,"긴급",IF($N268&lt;=120,"주의",IF($N268&lt;=240,"관찰","여유")))))</f>
        <v>기한없음</v>
      </c>
      <c r="P268" s="30" t="s">
        <v>68</v>
      </c>
    </row>
    <row r="269" customFormat="false" ht="49.5" hidden="false" customHeight="true" outlineLevel="0" collapsed="false">
      <c r="A269" s="21" t="s">
        <v>985</v>
      </c>
      <c r="B269" s="22" t="s">
        <v>926</v>
      </c>
      <c r="C269" s="21" t="s">
        <v>1044</v>
      </c>
      <c r="D269" s="21" t="s">
        <v>1051</v>
      </c>
      <c r="E269" s="21" t="s">
        <v>1052</v>
      </c>
      <c r="F269" s="23" t="s">
        <v>802</v>
      </c>
      <c r="G269" s="24" t="s">
        <v>1053</v>
      </c>
      <c r="H269" s="32" t="s">
        <v>17</v>
      </c>
      <c r="I269" s="26" t="s">
        <v>201</v>
      </c>
      <c r="J269" s="27"/>
      <c r="K269" s="27"/>
      <c r="L269" s="27" t="s">
        <v>332</v>
      </c>
      <c r="M269" s="28" t="str">
        <f aca="false">IF($H269="기한없음","",DATE(2000+VALUE(LEFT($H269,2)),VALUE(RIGHT($H269,1))*3+1,1)-1)</f>
        <v/>
      </c>
      <c r="N269" s="30" t="str">
        <f aca="false">IF($M269="","",$M269-이행현황요약!$B$3)</f>
        <v/>
      </c>
      <c r="O269" s="30" t="str">
        <f aca="false">IF($H269="기한없음","기한없음",IF($N269&lt;0,"기한초과",IF($N269&lt;=34,"긴급",IF($N269&lt;=120,"주의",IF($N269&lt;=240,"관찰","여유")))))</f>
        <v>기한없음</v>
      </c>
      <c r="P269" s="30" t="s">
        <v>68</v>
      </c>
    </row>
    <row r="270" customFormat="false" ht="49.5" hidden="false" customHeight="true" outlineLevel="0" collapsed="false">
      <c r="A270" s="21" t="s">
        <v>985</v>
      </c>
      <c r="B270" s="22" t="s">
        <v>926</v>
      </c>
      <c r="C270" s="21" t="s">
        <v>1054</v>
      </c>
      <c r="D270" s="21" t="s">
        <v>1055</v>
      </c>
      <c r="E270" s="21" t="s">
        <v>1056</v>
      </c>
      <c r="F270" s="23" t="s">
        <v>802</v>
      </c>
      <c r="G270" s="31" t="s">
        <v>1057</v>
      </c>
      <c r="H270" s="25" t="n">
        <v>26.2</v>
      </c>
      <c r="I270" s="26" t="s">
        <v>34</v>
      </c>
      <c r="J270" s="27"/>
      <c r="K270" s="26" t="s">
        <v>1058</v>
      </c>
      <c r="L270" s="27" t="s">
        <v>332</v>
      </c>
      <c r="M270" s="28" t="n">
        <f aca="false">IF($H270="기한없음","",DATE(2000+VALUE(LEFT($H270,2)),VALUE(RIGHT($H270,1))*3+1,1)-1)</f>
        <v>46203</v>
      </c>
      <c r="N270" s="30" t="n">
        <f aca="false">IF($M270="","",$M270-이행현황요약!$B$3)</f>
        <v>-3</v>
      </c>
      <c r="O270" s="30" t="str">
        <f aca="false">IF($H270="기한없음","기한없음",IF($N270&lt;0,"기한초과",IF($N270&lt;=34,"긴급",IF($N270&lt;=120,"주의",IF($N270&lt;=240,"관찰","여유")))))</f>
        <v>기한초과</v>
      </c>
      <c r="P270" s="30" t="s">
        <v>68</v>
      </c>
    </row>
    <row r="271" customFormat="false" ht="66" hidden="false" customHeight="true" outlineLevel="0" collapsed="false">
      <c r="A271" s="21" t="s">
        <v>985</v>
      </c>
      <c r="B271" s="22" t="s">
        <v>926</v>
      </c>
      <c r="C271" s="21" t="s">
        <v>1059</v>
      </c>
      <c r="D271" s="21" t="s">
        <v>1060</v>
      </c>
      <c r="E271" s="21" t="s">
        <v>1061</v>
      </c>
      <c r="F271" s="23" t="s">
        <v>802</v>
      </c>
      <c r="G271" s="24" t="s">
        <v>1062</v>
      </c>
      <c r="H271" s="25" t="n">
        <v>26.2</v>
      </c>
      <c r="I271" s="26" t="s">
        <v>34</v>
      </c>
      <c r="J271" s="27"/>
      <c r="K271" s="27"/>
      <c r="L271" s="27" t="s">
        <v>332</v>
      </c>
      <c r="M271" s="28" t="n">
        <f aca="false">IF($H271="기한없음","",DATE(2000+VALUE(LEFT($H271,2)),VALUE(RIGHT($H271,1))*3+1,1)-1)</f>
        <v>46203</v>
      </c>
      <c r="N271" s="30" t="n">
        <f aca="false">IF($M271="","",$M271-이행현황요약!$B$3)</f>
        <v>-3</v>
      </c>
      <c r="O271" s="30" t="str">
        <f aca="false">IF($H271="기한없음","기한없음",IF($N271&lt;0,"기한초과",IF($N271&lt;=34,"긴급",IF($N271&lt;=120,"주의",IF($N271&lt;=240,"관찰","여유")))))</f>
        <v>기한초과</v>
      </c>
      <c r="P271" s="30" t="s">
        <v>68</v>
      </c>
    </row>
    <row r="272" customFormat="false" ht="66" hidden="false" customHeight="true" outlineLevel="0" collapsed="false">
      <c r="A272" s="21" t="s">
        <v>985</v>
      </c>
      <c r="B272" s="22" t="s">
        <v>926</v>
      </c>
      <c r="C272" s="21" t="s">
        <v>1059</v>
      </c>
      <c r="D272" s="21" t="s">
        <v>1063</v>
      </c>
      <c r="E272" s="21" t="s">
        <v>1064</v>
      </c>
      <c r="F272" s="23" t="s">
        <v>802</v>
      </c>
      <c r="G272" s="24" t="s">
        <v>1065</v>
      </c>
      <c r="H272" s="25" t="n">
        <v>26.2</v>
      </c>
      <c r="I272" s="26" t="s">
        <v>34</v>
      </c>
      <c r="J272" s="27"/>
      <c r="K272" s="26" t="s">
        <v>241</v>
      </c>
      <c r="L272" s="27" t="s">
        <v>332</v>
      </c>
      <c r="M272" s="28" t="n">
        <f aca="false">IF($H272="기한없음","",DATE(2000+VALUE(LEFT($H272,2)),VALUE(RIGHT($H272,1))*3+1,1)-1)</f>
        <v>46203</v>
      </c>
      <c r="N272" s="30" t="n">
        <f aca="false">IF($M272="","",$M272-이행현황요약!$B$3)</f>
        <v>-3</v>
      </c>
      <c r="O272" s="30" t="str">
        <f aca="false">IF($H272="기한없음","기한없음",IF($N272&lt;0,"기한초과",IF($N272&lt;=34,"긴급",IF($N272&lt;=120,"주의",IF($N272&lt;=240,"관찰","여유")))))</f>
        <v>기한초과</v>
      </c>
      <c r="P272" s="30" t="s">
        <v>68</v>
      </c>
    </row>
    <row r="273" customFormat="false" ht="33" hidden="false" customHeight="true" outlineLevel="0" collapsed="false">
      <c r="A273" s="21" t="s">
        <v>985</v>
      </c>
      <c r="B273" s="22" t="s">
        <v>926</v>
      </c>
      <c r="C273" s="21" t="s">
        <v>1066</v>
      </c>
      <c r="D273" s="21" t="s">
        <v>1067</v>
      </c>
      <c r="E273" s="21" t="s">
        <v>1068</v>
      </c>
      <c r="F273" s="23" t="s">
        <v>802</v>
      </c>
      <c r="G273" s="24" t="s">
        <v>1069</v>
      </c>
      <c r="H273" s="25" t="n">
        <v>26.3</v>
      </c>
      <c r="I273" s="26" t="s">
        <v>42</v>
      </c>
      <c r="J273" s="27"/>
      <c r="K273" s="26" t="s">
        <v>308</v>
      </c>
      <c r="L273" s="27" t="s">
        <v>332</v>
      </c>
      <c r="M273" s="28" t="n">
        <f aca="false">IF($H273="기한없음","",DATE(2000+VALUE(LEFT($H273,2)),VALUE(RIGHT($H273,1))*3+1,1)-1)</f>
        <v>46295</v>
      </c>
      <c r="N273" s="30" t="n">
        <f aca="false">IF($M273="","",$M273-이행현황요약!$B$3)</f>
        <v>89</v>
      </c>
      <c r="O273" s="30" t="str">
        <f aca="false">IF($H273="기한없음","기한없음",IF($N273&lt;0,"기한초과",IF($N273&lt;=34,"긴급",IF($N273&lt;=120,"주의",IF($N273&lt;=240,"관찰","여유")))))</f>
        <v>주의</v>
      </c>
      <c r="P273" s="30" t="s">
        <v>68</v>
      </c>
    </row>
    <row r="274" customFormat="false" ht="49.5" hidden="false" customHeight="true" outlineLevel="0" collapsed="false">
      <c r="A274" s="21" t="s">
        <v>985</v>
      </c>
      <c r="B274" s="22" t="s">
        <v>1070</v>
      </c>
      <c r="C274" s="21" t="s">
        <v>1071</v>
      </c>
      <c r="D274" s="21" t="s">
        <v>1072</v>
      </c>
      <c r="E274" s="23" t="s">
        <v>1073</v>
      </c>
      <c r="F274" s="23" t="s">
        <v>1074</v>
      </c>
      <c r="G274" s="24" t="s">
        <v>1075</v>
      </c>
      <c r="H274" s="25" t="n">
        <v>26.1</v>
      </c>
      <c r="I274" s="26" t="s">
        <v>41</v>
      </c>
      <c r="J274" s="27"/>
      <c r="K274" s="26" t="s">
        <v>34</v>
      </c>
      <c r="L274" s="26" t="s">
        <v>256</v>
      </c>
      <c r="M274" s="28" t="n">
        <f aca="false">IF($H274="기한없음","",DATE(2000+VALUE(LEFT($H274,2)),VALUE(RIGHT($H274,1))*3+1,1)-1)</f>
        <v>46112</v>
      </c>
      <c r="N274" s="30" t="n">
        <f aca="false">IF($M274="","",$M274-이행현황요약!$B$3)</f>
        <v>-94</v>
      </c>
      <c r="O274" s="30" t="str">
        <f aca="false">IF($H274="기한없음","기한없음",IF($N274&lt;0,"기한초과",IF($N274&lt;=34,"긴급",IF($N274&lt;=120,"주의",IF($N274&lt;=240,"관찰","여유")))))</f>
        <v>기한초과</v>
      </c>
      <c r="P274" s="30" t="s">
        <v>68</v>
      </c>
    </row>
    <row r="275" customFormat="false" ht="66" hidden="false" customHeight="true" outlineLevel="0" collapsed="false">
      <c r="A275" s="21" t="s">
        <v>985</v>
      </c>
      <c r="B275" s="22" t="s">
        <v>1070</v>
      </c>
      <c r="C275" s="21" t="s">
        <v>1071</v>
      </c>
      <c r="D275" s="21" t="s">
        <v>1076</v>
      </c>
      <c r="E275" s="23" t="s">
        <v>1077</v>
      </c>
      <c r="F275" s="23" t="s">
        <v>1074</v>
      </c>
      <c r="G275" s="31" t="s">
        <v>1078</v>
      </c>
      <c r="H275" s="25" t="n">
        <v>26.1</v>
      </c>
      <c r="I275" s="26" t="s">
        <v>41</v>
      </c>
      <c r="J275" s="27"/>
      <c r="K275" s="27"/>
      <c r="L275" s="26" t="s">
        <v>256</v>
      </c>
      <c r="M275" s="28" t="n">
        <f aca="false">IF($H275="기한없음","",DATE(2000+VALUE(LEFT($H275,2)),VALUE(RIGHT($H275,1))*3+1,1)-1)</f>
        <v>46112</v>
      </c>
      <c r="N275" s="30" t="n">
        <f aca="false">IF($M275="","",$M275-이행현황요약!$B$3)</f>
        <v>-94</v>
      </c>
      <c r="O275" s="30" t="str">
        <f aca="false">IF($H275="기한없음","기한없음",IF($N275&lt;0,"기한초과",IF($N275&lt;=34,"긴급",IF($N275&lt;=120,"주의",IF($N275&lt;=240,"관찰","여유")))))</f>
        <v>기한초과</v>
      </c>
      <c r="P275" s="30" t="s">
        <v>68</v>
      </c>
    </row>
    <row r="276" customFormat="false" ht="33" hidden="false" customHeight="true" outlineLevel="0" collapsed="false">
      <c r="A276" s="21" t="s">
        <v>985</v>
      </c>
      <c r="B276" s="22" t="s">
        <v>1070</v>
      </c>
      <c r="C276" s="21" t="s">
        <v>1079</v>
      </c>
      <c r="D276" s="21" t="s">
        <v>1080</v>
      </c>
      <c r="E276" s="23" t="s">
        <v>1081</v>
      </c>
      <c r="F276" s="23" t="s">
        <v>1074</v>
      </c>
      <c r="G276" s="24" t="s">
        <v>1082</v>
      </c>
      <c r="H276" s="25" t="n">
        <v>26.4</v>
      </c>
      <c r="I276" s="26" t="s">
        <v>108</v>
      </c>
      <c r="J276" s="27" t="s">
        <v>94</v>
      </c>
      <c r="K276" s="27"/>
      <c r="L276" s="26" t="s">
        <v>256</v>
      </c>
      <c r="M276" s="28" t="n">
        <f aca="false">IF($H276="기한없음","",DATE(2000+VALUE(LEFT($H276,2)),VALUE(RIGHT($H276,1))*3+1,1)-1)</f>
        <v>46387</v>
      </c>
      <c r="N276" s="30" t="n">
        <f aca="false">IF($M276="","",$M276-이행현황요약!$B$3)</f>
        <v>181</v>
      </c>
      <c r="O276" s="30" t="str">
        <f aca="false">IF($H276="기한없음","기한없음",IF($N276&lt;0,"기한초과",IF($N276&lt;=34,"긴급",IF($N276&lt;=120,"주의",IF($N276&lt;=240,"관찰","여유")))))</f>
        <v>관찰</v>
      </c>
      <c r="P276" s="30" t="s">
        <v>68</v>
      </c>
    </row>
    <row r="277" customFormat="false" ht="49.5" hidden="false" customHeight="true" outlineLevel="0" collapsed="false">
      <c r="A277" s="21" t="s">
        <v>985</v>
      </c>
      <c r="B277" s="22" t="s">
        <v>1070</v>
      </c>
      <c r="C277" s="21" t="s">
        <v>1079</v>
      </c>
      <c r="D277" s="21" t="s">
        <v>1083</v>
      </c>
      <c r="E277" s="23" t="s">
        <v>1084</v>
      </c>
      <c r="F277" s="23" t="s">
        <v>1074</v>
      </c>
      <c r="G277" s="31" t="s">
        <v>1085</v>
      </c>
      <c r="H277" s="25" t="n">
        <v>26.4</v>
      </c>
      <c r="I277" s="26" t="s">
        <v>898</v>
      </c>
      <c r="J277" s="27"/>
      <c r="K277" s="27"/>
      <c r="L277" s="26" t="s">
        <v>256</v>
      </c>
      <c r="M277" s="28" t="n">
        <f aca="false">IF($H277="기한없음","",DATE(2000+VALUE(LEFT($H277,2)),VALUE(RIGHT($H277,1))*3+1,1)-1)</f>
        <v>46387</v>
      </c>
      <c r="N277" s="30" t="n">
        <f aca="false">IF($M277="","",$M277-이행현황요약!$B$3)</f>
        <v>181</v>
      </c>
      <c r="O277" s="30" t="str">
        <f aca="false">IF($H277="기한없음","기한없음",IF($N277&lt;0,"기한초과",IF($N277&lt;=34,"긴급",IF($N277&lt;=120,"주의",IF($N277&lt;=240,"관찰","여유")))))</f>
        <v>관찰</v>
      </c>
      <c r="P277" s="30" t="s">
        <v>68</v>
      </c>
    </row>
    <row r="278" customFormat="false" ht="49.5" hidden="false" customHeight="true" outlineLevel="0" collapsed="false">
      <c r="A278" s="21" t="s">
        <v>985</v>
      </c>
      <c r="B278" s="22" t="s">
        <v>1070</v>
      </c>
      <c r="C278" s="21" t="s">
        <v>1079</v>
      </c>
      <c r="D278" s="21" t="s">
        <v>1086</v>
      </c>
      <c r="E278" s="23" t="s">
        <v>1087</v>
      </c>
      <c r="F278" s="23" t="s">
        <v>1074</v>
      </c>
      <c r="G278" s="24" t="s">
        <v>1088</v>
      </c>
      <c r="H278" s="25" t="n">
        <v>26.4</v>
      </c>
      <c r="I278" s="26" t="s">
        <v>454</v>
      </c>
      <c r="J278" s="27" t="s">
        <v>94</v>
      </c>
      <c r="K278" s="27"/>
      <c r="L278" s="26" t="s">
        <v>256</v>
      </c>
      <c r="M278" s="28" t="n">
        <f aca="false">IF($H278="기한없음","",DATE(2000+VALUE(LEFT($H278,2)),VALUE(RIGHT($H278,1))*3+1,1)-1)</f>
        <v>46387</v>
      </c>
      <c r="N278" s="30" t="n">
        <f aca="false">IF($M278="","",$M278-이행현황요약!$B$3)</f>
        <v>181</v>
      </c>
      <c r="O278" s="30" t="str">
        <f aca="false">IF($H278="기한없음","기한없음",IF($N278&lt;0,"기한초과",IF($N278&lt;=34,"긴급",IF($N278&lt;=120,"주의",IF($N278&lt;=240,"관찰","여유")))))</f>
        <v>관찰</v>
      </c>
      <c r="P278" s="30" t="s">
        <v>68</v>
      </c>
    </row>
    <row r="279" customFormat="false" ht="33" hidden="false" customHeight="true" outlineLevel="0" collapsed="false">
      <c r="A279" s="21" t="s">
        <v>985</v>
      </c>
      <c r="B279" s="22" t="s">
        <v>1070</v>
      </c>
      <c r="C279" s="21" t="s">
        <v>1079</v>
      </c>
      <c r="D279" s="21" t="s">
        <v>1089</v>
      </c>
      <c r="E279" s="23" t="s">
        <v>1090</v>
      </c>
      <c r="F279" s="23" t="s">
        <v>1074</v>
      </c>
      <c r="G279" s="24" t="s">
        <v>1091</v>
      </c>
      <c r="H279" s="25" t="n">
        <v>26.2</v>
      </c>
      <c r="I279" s="26" t="s">
        <v>1092</v>
      </c>
      <c r="J279" s="27" t="s">
        <v>94</v>
      </c>
      <c r="K279" s="27"/>
      <c r="L279" s="26" t="s">
        <v>256</v>
      </c>
      <c r="M279" s="28" t="n">
        <f aca="false">IF($H279="기한없음","",DATE(2000+VALUE(LEFT($H279,2)),VALUE(RIGHT($H279,1))*3+1,1)-1)</f>
        <v>46203</v>
      </c>
      <c r="N279" s="30" t="n">
        <f aca="false">IF($M279="","",$M279-이행현황요약!$B$3)</f>
        <v>-3</v>
      </c>
      <c r="O279" s="30" t="str">
        <f aca="false">IF($H279="기한없음","기한없음",IF($N279&lt;0,"기한초과",IF($N279&lt;=34,"긴급",IF($N279&lt;=120,"주의",IF($N279&lt;=240,"관찰","여유")))))</f>
        <v>기한초과</v>
      </c>
      <c r="P279" s="30" t="s">
        <v>68</v>
      </c>
    </row>
    <row r="280" customFormat="false" ht="33" hidden="false" customHeight="true" outlineLevel="0" collapsed="false">
      <c r="A280" s="21" t="s">
        <v>985</v>
      </c>
      <c r="B280" s="22" t="s">
        <v>1070</v>
      </c>
      <c r="C280" s="21" t="s">
        <v>1093</v>
      </c>
      <c r="D280" s="21" t="s">
        <v>1094</v>
      </c>
      <c r="E280" s="23" t="s">
        <v>1095</v>
      </c>
      <c r="F280" s="23" t="s">
        <v>1074</v>
      </c>
      <c r="G280" s="24" t="s">
        <v>1096</v>
      </c>
      <c r="H280" s="25" t="n">
        <v>26.1</v>
      </c>
      <c r="I280" s="26" t="s">
        <v>1097</v>
      </c>
      <c r="J280" s="27" t="s">
        <v>94</v>
      </c>
      <c r="K280" s="27"/>
      <c r="L280" s="26" t="s">
        <v>256</v>
      </c>
      <c r="M280" s="28" t="n">
        <f aca="false">IF($H280="기한없음","",DATE(2000+VALUE(LEFT($H280,2)),VALUE(RIGHT($H280,1))*3+1,1)-1)</f>
        <v>46112</v>
      </c>
      <c r="N280" s="30" t="n">
        <f aca="false">IF($M280="","",$M280-이행현황요약!$B$3)</f>
        <v>-94</v>
      </c>
      <c r="O280" s="30" t="str">
        <f aca="false">IF($H280="기한없음","기한없음",IF($N280&lt;0,"기한초과",IF($N280&lt;=34,"긴급",IF($N280&lt;=120,"주의",IF($N280&lt;=240,"관찰","여유")))))</f>
        <v>기한초과</v>
      </c>
      <c r="P280" s="30" t="s">
        <v>68</v>
      </c>
    </row>
    <row r="281" customFormat="false" ht="33" hidden="false" customHeight="true" outlineLevel="0" collapsed="false">
      <c r="A281" s="21" t="s">
        <v>985</v>
      </c>
      <c r="B281" s="22" t="s">
        <v>1070</v>
      </c>
      <c r="C281" s="21" t="s">
        <v>1093</v>
      </c>
      <c r="D281" s="21" t="s">
        <v>1098</v>
      </c>
      <c r="E281" s="23" t="s">
        <v>1099</v>
      </c>
      <c r="F281" s="23" t="s">
        <v>1074</v>
      </c>
      <c r="G281" s="31" t="s">
        <v>1100</v>
      </c>
      <c r="H281" s="25" t="n">
        <v>26.4</v>
      </c>
      <c r="I281" s="26" t="s">
        <v>41</v>
      </c>
      <c r="J281" s="27"/>
      <c r="K281" s="26" t="s">
        <v>1101</v>
      </c>
      <c r="L281" s="26" t="s">
        <v>256</v>
      </c>
      <c r="M281" s="28" t="n">
        <f aca="false">IF($H281="기한없음","",DATE(2000+VALUE(LEFT($H281,2)),VALUE(RIGHT($H281,1))*3+1,1)-1)</f>
        <v>46387</v>
      </c>
      <c r="N281" s="30" t="n">
        <f aca="false">IF($M281="","",$M281-이행현황요약!$B$3)</f>
        <v>181</v>
      </c>
      <c r="O281" s="30" t="str">
        <f aca="false">IF($H281="기한없음","기한없음",IF($N281&lt;0,"기한초과",IF($N281&lt;=34,"긴급",IF($N281&lt;=120,"주의",IF($N281&lt;=240,"관찰","여유")))))</f>
        <v>관찰</v>
      </c>
      <c r="P281" s="30" t="s">
        <v>68</v>
      </c>
    </row>
    <row r="282" customFormat="false" ht="33" hidden="false" customHeight="true" outlineLevel="0" collapsed="false">
      <c r="A282" s="21" t="s">
        <v>985</v>
      </c>
      <c r="B282" s="22" t="s">
        <v>1070</v>
      </c>
      <c r="C282" s="21" t="s">
        <v>1102</v>
      </c>
      <c r="D282" s="21" t="s">
        <v>1103</v>
      </c>
      <c r="E282" s="23" t="s">
        <v>1104</v>
      </c>
      <c r="F282" s="23" t="s">
        <v>1074</v>
      </c>
      <c r="G282" s="24" t="s">
        <v>1105</v>
      </c>
      <c r="H282" s="25" t="n">
        <v>26.1</v>
      </c>
      <c r="I282" s="26" t="s">
        <v>41</v>
      </c>
      <c r="J282" s="27"/>
      <c r="K282" s="26" t="s">
        <v>1106</v>
      </c>
      <c r="L282" s="26" t="s">
        <v>256</v>
      </c>
      <c r="M282" s="28" t="n">
        <f aca="false">IF($H282="기한없음","",DATE(2000+VALUE(LEFT($H282,2)),VALUE(RIGHT($H282,1))*3+1,1)-1)</f>
        <v>46112</v>
      </c>
      <c r="N282" s="30" t="n">
        <f aca="false">IF($M282="","",$M282-이행현황요약!$B$3)</f>
        <v>-94</v>
      </c>
      <c r="O282" s="30" t="str">
        <f aca="false">IF($H282="기한없음","기한없음",IF($N282&lt;0,"기한초과",IF($N282&lt;=34,"긴급",IF($N282&lt;=120,"주의",IF($N282&lt;=240,"관찰","여유")))))</f>
        <v>기한초과</v>
      </c>
      <c r="P282" s="30" t="s">
        <v>68</v>
      </c>
    </row>
    <row r="283" customFormat="false" ht="33" hidden="false" customHeight="true" outlineLevel="0" collapsed="false">
      <c r="A283" s="21" t="s">
        <v>985</v>
      </c>
      <c r="B283" s="22" t="s">
        <v>1070</v>
      </c>
      <c r="C283" s="21" t="s">
        <v>1102</v>
      </c>
      <c r="D283" s="21" t="s">
        <v>1107</v>
      </c>
      <c r="E283" s="23" t="s">
        <v>1108</v>
      </c>
      <c r="F283" s="23" t="s">
        <v>1074</v>
      </c>
      <c r="G283" s="24" t="s">
        <v>1109</v>
      </c>
      <c r="H283" s="25" t="n">
        <v>26.1</v>
      </c>
      <c r="I283" s="26" t="s">
        <v>1110</v>
      </c>
      <c r="J283" s="27" t="s">
        <v>94</v>
      </c>
      <c r="K283" s="27"/>
      <c r="L283" s="26" t="s">
        <v>256</v>
      </c>
      <c r="M283" s="28" t="n">
        <f aca="false">IF($H283="기한없음","",DATE(2000+VALUE(LEFT($H283,2)),VALUE(RIGHT($H283,1))*3+1,1)-1)</f>
        <v>46112</v>
      </c>
      <c r="N283" s="30" t="n">
        <f aca="false">IF($M283="","",$M283-이행현황요약!$B$3)</f>
        <v>-94</v>
      </c>
      <c r="O283" s="30" t="str">
        <f aca="false">IF($H283="기한없음","기한없음",IF($N283&lt;0,"기한초과",IF($N283&lt;=34,"긴급",IF($N283&lt;=120,"주의",IF($N283&lt;=240,"관찰","여유")))))</f>
        <v>기한초과</v>
      </c>
      <c r="P283" s="30" t="s">
        <v>68</v>
      </c>
    </row>
    <row r="284" customFormat="false" ht="49.5" hidden="false" customHeight="true" outlineLevel="0" collapsed="false">
      <c r="A284" s="21" t="s">
        <v>985</v>
      </c>
      <c r="B284" s="22" t="s">
        <v>1070</v>
      </c>
      <c r="C284" s="21" t="s">
        <v>1111</v>
      </c>
      <c r="D284" s="21" t="s">
        <v>1112</v>
      </c>
      <c r="E284" s="23" t="s">
        <v>1113</v>
      </c>
      <c r="F284" s="23" t="s">
        <v>1074</v>
      </c>
      <c r="G284" s="24" t="s">
        <v>1114</v>
      </c>
      <c r="H284" s="25" t="n">
        <v>26.4</v>
      </c>
      <c r="I284" s="26" t="s">
        <v>41</v>
      </c>
      <c r="J284" s="27"/>
      <c r="K284" s="27"/>
      <c r="L284" s="26" t="s">
        <v>256</v>
      </c>
      <c r="M284" s="28" t="n">
        <f aca="false">IF($H284="기한없음","",DATE(2000+VALUE(LEFT($H284,2)),VALUE(RIGHT($H284,1))*3+1,1)-1)</f>
        <v>46387</v>
      </c>
      <c r="N284" s="30" t="n">
        <f aca="false">IF($M284="","",$M284-이행현황요약!$B$3)</f>
        <v>181</v>
      </c>
      <c r="O284" s="30" t="str">
        <f aca="false">IF($H284="기한없음","기한없음",IF($N284&lt;0,"기한초과",IF($N284&lt;=34,"긴급",IF($N284&lt;=120,"주의",IF($N284&lt;=240,"관찰","여유")))))</f>
        <v>관찰</v>
      </c>
      <c r="P284" s="30" t="s">
        <v>68</v>
      </c>
    </row>
    <row r="285" customFormat="false" ht="49.5" hidden="false" customHeight="true" outlineLevel="0" collapsed="false">
      <c r="A285" s="21" t="s">
        <v>985</v>
      </c>
      <c r="B285" s="22" t="s">
        <v>1070</v>
      </c>
      <c r="C285" s="21" t="s">
        <v>1115</v>
      </c>
      <c r="D285" s="21" t="s">
        <v>1116</v>
      </c>
      <c r="E285" s="23" t="s">
        <v>1117</v>
      </c>
      <c r="F285" s="23" t="s">
        <v>1074</v>
      </c>
      <c r="G285" s="24" t="s">
        <v>1118</v>
      </c>
      <c r="H285" s="25" t="n">
        <v>26.2</v>
      </c>
      <c r="I285" s="26" t="s">
        <v>41</v>
      </c>
      <c r="J285" s="27"/>
      <c r="K285" s="26" t="s">
        <v>237</v>
      </c>
      <c r="L285" s="26" t="s">
        <v>256</v>
      </c>
      <c r="M285" s="28" t="n">
        <f aca="false">IF($H285="기한없음","",DATE(2000+VALUE(LEFT($H285,2)),VALUE(RIGHT($H285,1))*3+1,1)-1)</f>
        <v>46203</v>
      </c>
      <c r="N285" s="30" t="n">
        <f aca="false">IF($M285="","",$M285-이행현황요약!$B$3)</f>
        <v>-3</v>
      </c>
      <c r="O285" s="30" t="str">
        <f aca="false">IF($H285="기한없음","기한없음",IF($N285&lt;0,"기한초과",IF($N285&lt;=34,"긴급",IF($N285&lt;=120,"주의",IF($N285&lt;=240,"관찰","여유")))))</f>
        <v>기한초과</v>
      </c>
      <c r="P285" s="30" t="s">
        <v>68</v>
      </c>
    </row>
    <row r="286" customFormat="false" ht="33" hidden="false" customHeight="true" outlineLevel="0" collapsed="false">
      <c r="A286" s="21" t="s">
        <v>985</v>
      </c>
      <c r="B286" s="22" t="s">
        <v>1070</v>
      </c>
      <c r="C286" s="21" t="s">
        <v>1119</v>
      </c>
      <c r="D286" s="21" t="s">
        <v>1120</v>
      </c>
      <c r="E286" s="23" t="s">
        <v>1121</v>
      </c>
      <c r="F286" s="23" t="s">
        <v>1074</v>
      </c>
      <c r="G286" s="31" t="s">
        <v>1122</v>
      </c>
      <c r="H286" s="25" t="n">
        <v>26.2</v>
      </c>
      <c r="I286" s="26" t="s">
        <v>1123</v>
      </c>
      <c r="J286" s="27" t="s">
        <v>94</v>
      </c>
      <c r="K286" s="26" t="s">
        <v>1124</v>
      </c>
      <c r="L286" s="26" t="s">
        <v>256</v>
      </c>
      <c r="M286" s="28" t="n">
        <f aca="false">IF($H286="기한없음","",DATE(2000+VALUE(LEFT($H286,2)),VALUE(RIGHT($H286,1))*3+1,1)-1)</f>
        <v>46203</v>
      </c>
      <c r="N286" s="30" t="n">
        <f aca="false">IF($M286="","",$M286-이행현황요약!$B$3)</f>
        <v>-3</v>
      </c>
      <c r="O286" s="30" t="str">
        <f aca="false">IF($H286="기한없음","기한없음",IF($N286&lt;0,"기한초과",IF($N286&lt;=34,"긴급",IF($N286&lt;=120,"주의",IF($N286&lt;=240,"관찰","여유")))))</f>
        <v>기한초과</v>
      </c>
      <c r="P286" s="30" t="s">
        <v>68</v>
      </c>
    </row>
    <row r="287" customFormat="false" ht="33" hidden="false" customHeight="true" outlineLevel="0" collapsed="false">
      <c r="A287" s="21" t="s">
        <v>985</v>
      </c>
      <c r="B287" s="22" t="s">
        <v>1070</v>
      </c>
      <c r="C287" s="21" t="s">
        <v>1125</v>
      </c>
      <c r="D287" s="21" t="s">
        <v>1126</v>
      </c>
      <c r="E287" s="23" t="s">
        <v>1127</v>
      </c>
      <c r="F287" s="23" t="s">
        <v>1074</v>
      </c>
      <c r="G287" s="31" t="s">
        <v>1128</v>
      </c>
      <c r="H287" s="25" t="n">
        <v>26.2</v>
      </c>
      <c r="I287" s="26" t="s">
        <v>156</v>
      </c>
      <c r="J287" s="27"/>
      <c r="K287" s="27"/>
      <c r="L287" s="26" t="s">
        <v>256</v>
      </c>
      <c r="M287" s="28" t="n">
        <f aca="false">IF($H287="기한없음","",DATE(2000+VALUE(LEFT($H287,2)),VALUE(RIGHT($H287,1))*3+1,1)-1)</f>
        <v>46203</v>
      </c>
      <c r="N287" s="30" t="n">
        <f aca="false">IF($M287="","",$M287-이행현황요약!$B$3)</f>
        <v>-3</v>
      </c>
      <c r="O287" s="30" t="str">
        <f aca="false">IF($H287="기한없음","기한없음",IF($N287&lt;0,"기한초과",IF($N287&lt;=34,"긴급",IF($N287&lt;=120,"주의",IF($N287&lt;=240,"관찰","여유")))))</f>
        <v>기한초과</v>
      </c>
      <c r="P287" s="30" t="s">
        <v>68</v>
      </c>
    </row>
    <row r="288" customFormat="false" ht="66" hidden="false" customHeight="true" outlineLevel="0" collapsed="false">
      <c r="A288" s="21" t="s">
        <v>985</v>
      </c>
      <c r="B288" s="22" t="s">
        <v>1070</v>
      </c>
      <c r="C288" s="21" t="s">
        <v>1125</v>
      </c>
      <c r="D288" s="21" t="s">
        <v>1129</v>
      </c>
      <c r="E288" s="23" t="s">
        <v>1130</v>
      </c>
      <c r="F288" s="23" t="s">
        <v>1074</v>
      </c>
      <c r="G288" s="24" t="s">
        <v>1131</v>
      </c>
      <c r="H288" s="25" t="n">
        <v>27.1</v>
      </c>
      <c r="I288" s="26" t="s">
        <v>1132</v>
      </c>
      <c r="J288" s="27" t="s">
        <v>94</v>
      </c>
      <c r="K288" s="27"/>
      <c r="L288" s="26" t="s">
        <v>256</v>
      </c>
      <c r="M288" s="28" t="n">
        <f aca="false">IF($H288="기한없음","",DATE(2000+VALUE(LEFT($H288,2)),VALUE(RIGHT($H288,1))*3+1,1)-1)</f>
        <v>46477</v>
      </c>
      <c r="N288" s="30" t="n">
        <f aca="false">IF($M288="","",$M288-이행현황요약!$B$3)</f>
        <v>271</v>
      </c>
      <c r="O288" s="30" t="str">
        <f aca="false">IF($H288="기한없음","기한없음",IF($N288&lt;0,"기한초과",IF($N288&lt;=34,"긴급",IF($N288&lt;=120,"주의",IF($N288&lt;=240,"관찰","여유")))))</f>
        <v>여유</v>
      </c>
      <c r="P288" s="30" t="s">
        <v>68</v>
      </c>
    </row>
    <row r="289" customFormat="false" ht="33" hidden="false" customHeight="true" outlineLevel="0" collapsed="false">
      <c r="A289" s="21" t="s">
        <v>985</v>
      </c>
      <c r="B289" s="22" t="s">
        <v>1070</v>
      </c>
      <c r="C289" s="21" t="s">
        <v>1125</v>
      </c>
      <c r="D289" s="21" t="s">
        <v>1133</v>
      </c>
      <c r="E289" s="23" t="s">
        <v>1134</v>
      </c>
      <c r="F289" s="23" t="s">
        <v>1074</v>
      </c>
      <c r="G289" s="24" t="s">
        <v>1135</v>
      </c>
      <c r="H289" s="25" t="n">
        <v>26.4</v>
      </c>
      <c r="I289" s="26" t="s">
        <v>156</v>
      </c>
      <c r="J289" s="27"/>
      <c r="K289" s="27"/>
      <c r="L289" s="26" t="s">
        <v>256</v>
      </c>
      <c r="M289" s="28" t="n">
        <f aca="false">IF($H289="기한없음","",DATE(2000+VALUE(LEFT($H289,2)),VALUE(RIGHT($H289,1))*3+1,1)-1)</f>
        <v>46387</v>
      </c>
      <c r="N289" s="30" t="n">
        <f aca="false">IF($M289="","",$M289-이행현황요약!$B$3)</f>
        <v>181</v>
      </c>
      <c r="O289" s="30" t="str">
        <f aca="false">IF($H289="기한없음","기한없음",IF($N289&lt;0,"기한초과",IF($N289&lt;=34,"긴급",IF($N289&lt;=120,"주의",IF($N289&lt;=240,"관찰","여유")))))</f>
        <v>관찰</v>
      </c>
      <c r="P289" s="30" t="s">
        <v>68</v>
      </c>
    </row>
    <row r="290" customFormat="false" ht="49.5" hidden="false" customHeight="true" outlineLevel="0" collapsed="false">
      <c r="A290" s="21" t="s">
        <v>985</v>
      </c>
      <c r="B290" s="22" t="s">
        <v>1070</v>
      </c>
      <c r="C290" s="21" t="s">
        <v>1136</v>
      </c>
      <c r="D290" s="21" t="s">
        <v>1137</v>
      </c>
      <c r="E290" s="23" t="s">
        <v>1138</v>
      </c>
      <c r="F290" s="23" t="s">
        <v>1074</v>
      </c>
      <c r="G290" s="31" t="s">
        <v>1139</v>
      </c>
      <c r="H290" s="25" t="n">
        <v>26.1</v>
      </c>
      <c r="I290" s="26" t="s">
        <v>41</v>
      </c>
      <c r="J290" s="27"/>
      <c r="K290" s="26" t="s">
        <v>34</v>
      </c>
      <c r="L290" s="26" t="s">
        <v>256</v>
      </c>
      <c r="M290" s="28" t="n">
        <f aca="false">IF($H290="기한없음","",DATE(2000+VALUE(LEFT($H290,2)),VALUE(RIGHT($H290,1))*3+1,1)-1)</f>
        <v>46112</v>
      </c>
      <c r="N290" s="30" t="n">
        <f aca="false">IF($M290="","",$M290-이행현황요약!$B$3)</f>
        <v>-94</v>
      </c>
      <c r="O290" s="30" t="str">
        <f aca="false">IF($H290="기한없음","기한없음",IF($N290&lt;0,"기한초과",IF($N290&lt;=34,"긴급",IF($N290&lt;=120,"주의",IF($N290&lt;=240,"관찰","여유")))))</f>
        <v>기한초과</v>
      </c>
      <c r="P290" s="30" t="s">
        <v>68</v>
      </c>
    </row>
    <row r="291" customFormat="false" ht="33" hidden="false" customHeight="true" outlineLevel="0" collapsed="false">
      <c r="A291" s="21" t="s">
        <v>985</v>
      </c>
      <c r="B291" s="22" t="s">
        <v>1070</v>
      </c>
      <c r="C291" s="21" t="s">
        <v>1136</v>
      </c>
      <c r="D291" s="21" t="s">
        <v>1140</v>
      </c>
      <c r="E291" s="21" t="s">
        <v>1141</v>
      </c>
      <c r="F291" s="23" t="s">
        <v>1074</v>
      </c>
      <c r="G291" s="24" t="s">
        <v>1142</v>
      </c>
      <c r="H291" s="25" t="n">
        <v>26.2</v>
      </c>
      <c r="I291" s="26" t="s">
        <v>41</v>
      </c>
      <c r="J291" s="27"/>
      <c r="K291" s="27"/>
      <c r="L291" s="26" t="s">
        <v>256</v>
      </c>
      <c r="M291" s="28" t="n">
        <f aca="false">IF($H291="기한없음","",DATE(2000+VALUE(LEFT($H291,2)),VALUE(RIGHT($H291,1))*3+1,1)-1)</f>
        <v>46203</v>
      </c>
      <c r="N291" s="30" t="n">
        <f aca="false">IF($M291="","",$M291-이행현황요약!$B$3)</f>
        <v>-3</v>
      </c>
      <c r="O291" s="30" t="str">
        <f aca="false">IF($H291="기한없음","기한없음",IF($N291&lt;0,"기한초과",IF($N291&lt;=34,"긴급",IF($N291&lt;=120,"주의",IF($N291&lt;=240,"관찰","여유")))))</f>
        <v>기한초과</v>
      </c>
      <c r="P291" s="30" t="s">
        <v>68</v>
      </c>
    </row>
    <row r="292" customFormat="false" ht="33" hidden="false" customHeight="true" outlineLevel="0" collapsed="false">
      <c r="A292" s="21" t="s">
        <v>985</v>
      </c>
      <c r="B292" s="22" t="s">
        <v>1070</v>
      </c>
      <c r="C292" s="21" t="s">
        <v>1136</v>
      </c>
      <c r="D292" s="21" t="s">
        <v>1143</v>
      </c>
      <c r="E292" s="23" t="s">
        <v>1144</v>
      </c>
      <c r="F292" s="23" t="s">
        <v>1074</v>
      </c>
      <c r="G292" s="24" t="s">
        <v>1145</v>
      </c>
      <c r="H292" s="25" t="n">
        <v>26.2</v>
      </c>
      <c r="I292" s="26" t="s">
        <v>41</v>
      </c>
      <c r="J292" s="27"/>
      <c r="K292" s="27"/>
      <c r="L292" s="26" t="s">
        <v>256</v>
      </c>
      <c r="M292" s="28" t="n">
        <f aca="false">IF($H292="기한없음","",DATE(2000+VALUE(LEFT($H292,2)),VALUE(RIGHT($H292,1))*3+1,1)-1)</f>
        <v>46203</v>
      </c>
      <c r="N292" s="30" t="n">
        <f aca="false">IF($M292="","",$M292-이행현황요약!$B$3)</f>
        <v>-3</v>
      </c>
      <c r="O292" s="30" t="str">
        <f aca="false">IF($H292="기한없음","기한없음",IF($N292&lt;0,"기한초과",IF($N292&lt;=34,"긴급",IF($N292&lt;=120,"주의",IF($N292&lt;=240,"관찰","여유")))))</f>
        <v>기한초과</v>
      </c>
      <c r="P292" s="30" t="s">
        <v>68</v>
      </c>
    </row>
    <row r="293" customFormat="false" ht="33" hidden="false" customHeight="true" outlineLevel="0" collapsed="false">
      <c r="A293" s="21" t="s">
        <v>985</v>
      </c>
      <c r="B293" s="22" t="s">
        <v>1070</v>
      </c>
      <c r="C293" s="21" t="s">
        <v>1146</v>
      </c>
      <c r="D293" s="21" t="s">
        <v>1147</v>
      </c>
      <c r="E293" s="23" t="s">
        <v>1148</v>
      </c>
      <c r="F293" s="23" t="s">
        <v>1074</v>
      </c>
      <c r="G293" s="24" t="s">
        <v>1149</v>
      </c>
      <c r="H293" s="25" t="n">
        <v>26.1</v>
      </c>
      <c r="I293" s="26" t="s">
        <v>1150</v>
      </c>
      <c r="J293" s="27"/>
      <c r="K293" s="27"/>
      <c r="L293" s="26" t="s">
        <v>256</v>
      </c>
      <c r="M293" s="28" t="n">
        <f aca="false">IF($H293="기한없음","",DATE(2000+VALUE(LEFT($H293,2)),VALUE(RIGHT($H293,1))*3+1,1)-1)</f>
        <v>46112</v>
      </c>
      <c r="N293" s="30" t="n">
        <f aca="false">IF($M293="","",$M293-이행현황요약!$B$3)</f>
        <v>-94</v>
      </c>
      <c r="O293" s="30" t="str">
        <f aca="false">IF($H293="기한없음","기한없음",IF($N293&lt;0,"기한초과",IF($N293&lt;=34,"긴급",IF($N293&lt;=120,"주의",IF($N293&lt;=240,"관찰","여유")))))</f>
        <v>기한초과</v>
      </c>
      <c r="P293" s="30" t="s">
        <v>68</v>
      </c>
    </row>
    <row r="294" customFormat="false" ht="82.5" hidden="false" customHeight="true" outlineLevel="0" collapsed="false">
      <c r="A294" s="21" t="s">
        <v>985</v>
      </c>
      <c r="B294" s="22" t="s">
        <v>1070</v>
      </c>
      <c r="C294" s="21" t="s">
        <v>1146</v>
      </c>
      <c r="D294" s="21" t="s">
        <v>1151</v>
      </c>
      <c r="E294" s="23" t="s">
        <v>1152</v>
      </c>
      <c r="F294" s="23" t="s">
        <v>1074</v>
      </c>
      <c r="G294" s="24" t="s">
        <v>1153</v>
      </c>
      <c r="H294" s="32" t="s">
        <v>17</v>
      </c>
      <c r="I294" s="26" t="s">
        <v>108</v>
      </c>
      <c r="J294" s="27" t="s">
        <v>94</v>
      </c>
      <c r="K294" s="27"/>
      <c r="L294" s="26" t="s">
        <v>256</v>
      </c>
      <c r="M294" s="28" t="str">
        <f aca="false">IF($H294="기한없음","",DATE(2000+VALUE(LEFT($H294,2)),VALUE(RIGHT($H294,1))*3+1,1)-1)</f>
        <v/>
      </c>
      <c r="N294" s="30" t="str">
        <f aca="false">IF($M294="","",$M294-이행현황요약!$B$3)</f>
        <v/>
      </c>
      <c r="O294" s="30" t="str">
        <f aca="false">IF($H294="기한없음","기한없음",IF($N294&lt;0,"기한초과",IF($N294&lt;=34,"긴급",IF($N294&lt;=120,"주의",IF($N294&lt;=240,"관찰","여유")))))</f>
        <v>기한없음</v>
      </c>
      <c r="P294" s="30" t="s">
        <v>68</v>
      </c>
    </row>
    <row r="295" customFormat="false" ht="82.5" hidden="false" customHeight="true" outlineLevel="0" collapsed="false">
      <c r="A295" s="21" t="s">
        <v>985</v>
      </c>
      <c r="B295" s="22" t="s">
        <v>1070</v>
      </c>
      <c r="C295" s="21" t="s">
        <v>1146</v>
      </c>
      <c r="D295" s="21" t="s">
        <v>1154</v>
      </c>
      <c r="E295" s="23" t="s">
        <v>1155</v>
      </c>
      <c r="F295" s="23" t="s">
        <v>1074</v>
      </c>
      <c r="G295" s="24" t="s">
        <v>1156</v>
      </c>
      <c r="H295" s="25" t="n">
        <v>26.4</v>
      </c>
      <c r="I295" s="26" t="s">
        <v>1150</v>
      </c>
      <c r="J295" s="27"/>
      <c r="K295" s="27"/>
      <c r="L295" s="26" t="s">
        <v>256</v>
      </c>
      <c r="M295" s="28" t="n">
        <f aca="false">IF($H295="기한없음","",DATE(2000+VALUE(LEFT($H295,2)),VALUE(RIGHT($H295,1))*3+1,1)-1)</f>
        <v>46387</v>
      </c>
      <c r="N295" s="30" t="n">
        <f aca="false">IF($M295="","",$M295-이행현황요약!$B$3)</f>
        <v>181</v>
      </c>
      <c r="O295" s="30" t="str">
        <f aca="false">IF($H295="기한없음","기한없음",IF($N295&lt;0,"기한초과",IF($N295&lt;=34,"긴급",IF($N295&lt;=120,"주의",IF($N295&lt;=240,"관찰","여유")))))</f>
        <v>관찰</v>
      </c>
      <c r="P295" s="30" t="s">
        <v>68</v>
      </c>
    </row>
    <row r="296" customFormat="false" ht="33" hidden="false" customHeight="true" outlineLevel="0" collapsed="false">
      <c r="A296" s="21" t="s">
        <v>985</v>
      </c>
      <c r="B296" s="22" t="s">
        <v>1070</v>
      </c>
      <c r="C296" s="21" t="s">
        <v>1157</v>
      </c>
      <c r="D296" s="21" t="s">
        <v>1158</v>
      </c>
      <c r="E296" s="21" t="s">
        <v>1159</v>
      </c>
      <c r="F296" s="23" t="s">
        <v>289</v>
      </c>
      <c r="G296" s="31" t="s">
        <v>1160</v>
      </c>
      <c r="H296" s="25" t="n">
        <v>26.3</v>
      </c>
      <c r="I296" s="26" t="s">
        <v>40</v>
      </c>
      <c r="J296" s="27"/>
      <c r="K296" s="26" t="s">
        <v>34</v>
      </c>
      <c r="L296" s="27" t="s">
        <v>125</v>
      </c>
      <c r="M296" s="28" t="n">
        <f aca="false">IF($H296="기한없음","",DATE(2000+VALUE(LEFT($H296,2)),VALUE(RIGHT($H296,1))*3+1,1)-1)</f>
        <v>46295</v>
      </c>
      <c r="N296" s="30" t="n">
        <f aca="false">IF($M296="","",$M296-이행현황요약!$B$3)</f>
        <v>89</v>
      </c>
      <c r="O296" s="30" t="str">
        <f aca="false">IF($H296="기한없음","기한없음",IF($N296&lt;0,"기한초과",IF($N296&lt;=34,"긴급",IF($N296&lt;=120,"주의",IF($N296&lt;=240,"관찰","여유")))))</f>
        <v>주의</v>
      </c>
      <c r="P296" s="30" t="s">
        <v>68</v>
      </c>
    </row>
    <row r="297" customFormat="false" ht="33" hidden="false" customHeight="true" outlineLevel="0" collapsed="false">
      <c r="A297" s="21" t="s">
        <v>985</v>
      </c>
      <c r="B297" s="22" t="s">
        <v>1070</v>
      </c>
      <c r="C297" s="21" t="s">
        <v>1157</v>
      </c>
      <c r="D297" s="21" t="s">
        <v>1161</v>
      </c>
      <c r="E297" s="21" t="s">
        <v>1162</v>
      </c>
      <c r="F297" s="23" t="s">
        <v>289</v>
      </c>
      <c r="G297" s="24" t="s">
        <v>1163</v>
      </c>
      <c r="H297" s="25" t="n">
        <v>26.1</v>
      </c>
      <c r="I297" s="26" t="s">
        <v>40</v>
      </c>
      <c r="J297" s="27"/>
      <c r="K297" s="27"/>
      <c r="L297" s="27" t="s">
        <v>125</v>
      </c>
      <c r="M297" s="28" t="n">
        <f aca="false">IF($H297="기한없음","",DATE(2000+VALUE(LEFT($H297,2)),VALUE(RIGHT($H297,1))*3+1,1)-1)</f>
        <v>46112</v>
      </c>
      <c r="N297" s="30" t="n">
        <f aca="false">IF($M297="","",$M297-이행현황요약!$B$3)</f>
        <v>-94</v>
      </c>
      <c r="O297" s="30" t="str">
        <f aca="false">IF($H297="기한없음","기한없음",IF($N297&lt;0,"기한초과",IF($N297&lt;=34,"긴급",IF($N297&lt;=120,"주의",IF($N297&lt;=240,"관찰","여유")))))</f>
        <v>기한초과</v>
      </c>
      <c r="P297" s="30" t="s">
        <v>68</v>
      </c>
    </row>
    <row r="298" customFormat="false" ht="33" hidden="false" customHeight="true" outlineLevel="0" collapsed="false">
      <c r="A298" s="21" t="s">
        <v>985</v>
      </c>
      <c r="B298" s="22" t="s">
        <v>1070</v>
      </c>
      <c r="C298" s="21" t="s">
        <v>1157</v>
      </c>
      <c r="D298" s="21" t="s">
        <v>1164</v>
      </c>
      <c r="E298" s="23" t="s">
        <v>1165</v>
      </c>
      <c r="F298" s="23" t="s">
        <v>289</v>
      </c>
      <c r="G298" s="24" t="s">
        <v>1166</v>
      </c>
      <c r="H298" s="25" t="n">
        <v>26.4</v>
      </c>
      <c r="I298" s="26" t="s">
        <v>38</v>
      </c>
      <c r="J298" s="27"/>
      <c r="K298" s="27"/>
      <c r="L298" s="27" t="s">
        <v>125</v>
      </c>
      <c r="M298" s="28" t="n">
        <f aca="false">IF($H298="기한없음","",DATE(2000+VALUE(LEFT($H298,2)),VALUE(RIGHT($H298,1))*3+1,1)-1)</f>
        <v>46387</v>
      </c>
      <c r="N298" s="30" t="n">
        <f aca="false">IF($M298="","",$M298-이행현황요약!$B$3)</f>
        <v>181</v>
      </c>
      <c r="O298" s="30" t="str">
        <f aca="false">IF($H298="기한없음","기한없음",IF($N298&lt;0,"기한초과",IF($N298&lt;=34,"긴급",IF($N298&lt;=120,"주의",IF($N298&lt;=240,"관찰","여유")))))</f>
        <v>관찰</v>
      </c>
      <c r="P298" s="30" t="s">
        <v>68</v>
      </c>
    </row>
    <row r="299" customFormat="false" ht="33" hidden="false" customHeight="true" outlineLevel="0" collapsed="false">
      <c r="A299" s="21" t="s">
        <v>985</v>
      </c>
      <c r="B299" s="22" t="s">
        <v>1070</v>
      </c>
      <c r="C299" s="21" t="s">
        <v>1157</v>
      </c>
      <c r="D299" s="21" t="s">
        <v>1167</v>
      </c>
      <c r="E299" s="23" t="s">
        <v>1168</v>
      </c>
      <c r="F299" s="23" t="s">
        <v>289</v>
      </c>
      <c r="G299" s="24" t="s">
        <v>1169</v>
      </c>
      <c r="H299" s="25" t="n">
        <v>26.2</v>
      </c>
      <c r="I299" s="26" t="s">
        <v>40</v>
      </c>
      <c r="J299" s="27"/>
      <c r="K299" s="27"/>
      <c r="L299" s="27" t="s">
        <v>125</v>
      </c>
      <c r="M299" s="28" t="n">
        <f aca="false">IF($H299="기한없음","",DATE(2000+VALUE(LEFT($H299,2)),VALUE(RIGHT($H299,1))*3+1,1)-1)</f>
        <v>46203</v>
      </c>
      <c r="N299" s="30" t="n">
        <f aca="false">IF($M299="","",$M299-이행현황요약!$B$3)</f>
        <v>-3</v>
      </c>
      <c r="O299" s="30" t="str">
        <f aca="false">IF($H299="기한없음","기한없음",IF($N299&lt;0,"기한초과",IF($N299&lt;=34,"긴급",IF($N299&lt;=120,"주의",IF($N299&lt;=240,"관찰","여유")))))</f>
        <v>기한초과</v>
      </c>
      <c r="P299" s="30" t="s">
        <v>68</v>
      </c>
    </row>
    <row r="300" customFormat="false" ht="49.5" hidden="false" customHeight="true" outlineLevel="0" collapsed="false">
      <c r="A300" s="21" t="s">
        <v>985</v>
      </c>
      <c r="B300" s="22" t="s">
        <v>1070</v>
      </c>
      <c r="C300" s="21" t="s">
        <v>1170</v>
      </c>
      <c r="D300" s="21" t="s">
        <v>1171</v>
      </c>
      <c r="E300" s="23" t="s">
        <v>1172</v>
      </c>
      <c r="F300" s="23" t="s">
        <v>1074</v>
      </c>
      <c r="G300" s="24" t="s">
        <v>1173</v>
      </c>
      <c r="H300" s="25" t="n">
        <v>26.1</v>
      </c>
      <c r="I300" s="26" t="s">
        <v>41</v>
      </c>
      <c r="J300" s="27"/>
      <c r="K300" s="26" t="s">
        <v>1174</v>
      </c>
      <c r="L300" s="26" t="s">
        <v>256</v>
      </c>
      <c r="M300" s="28" t="n">
        <f aca="false">IF($H300="기한없음","",DATE(2000+VALUE(LEFT($H300,2)),VALUE(RIGHT($H300,1))*3+1,1)-1)</f>
        <v>46112</v>
      </c>
      <c r="N300" s="30" t="n">
        <f aca="false">IF($M300="","",$M300-이행현황요약!$B$3)</f>
        <v>-94</v>
      </c>
      <c r="O300" s="30" t="str">
        <f aca="false">IF($H300="기한없음","기한없음",IF($N300&lt;0,"기한초과",IF($N300&lt;=34,"긴급",IF($N300&lt;=120,"주의",IF($N300&lt;=240,"관찰","여유")))))</f>
        <v>기한초과</v>
      </c>
      <c r="P300" s="30" t="s">
        <v>68</v>
      </c>
    </row>
    <row r="301" customFormat="false" ht="49.5" hidden="false" customHeight="true" outlineLevel="0" collapsed="false">
      <c r="A301" s="21" t="s">
        <v>985</v>
      </c>
      <c r="B301" s="22" t="s">
        <v>1070</v>
      </c>
      <c r="C301" s="21" t="s">
        <v>1170</v>
      </c>
      <c r="D301" s="21" t="s">
        <v>1175</v>
      </c>
      <c r="E301" s="23" t="s">
        <v>1176</v>
      </c>
      <c r="F301" s="23" t="s">
        <v>1074</v>
      </c>
      <c r="G301" s="24" t="s">
        <v>1177</v>
      </c>
      <c r="H301" s="25" t="n">
        <v>26.1</v>
      </c>
      <c r="I301" s="26" t="s">
        <v>346</v>
      </c>
      <c r="J301" s="27" t="s">
        <v>94</v>
      </c>
      <c r="K301" s="27"/>
      <c r="L301" s="26" t="s">
        <v>256</v>
      </c>
      <c r="M301" s="28" t="n">
        <f aca="false">IF($H301="기한없음","",DATE(2000+VALUE(LEFT($H301,2)),VALUE(RIGHT($H301,1))*3+1,1)-1)</f>
        <v>46112</v>
      </c>
      <c r="N301" s="30" t="n">
        <f aca="false">IF($M301="","",$M301-이행현황요약!$B$3)</f>
        <v>-94</v>
      </c>
      <c r="O301" s="30" t="str">
        <f aca="false">IF($H301="기한없음","기한없음",IF($N301&lt;0,"기한초과",IF($N301&lt;=34,"긴급",IF($N301&lt;=120,"주의",IF($N301&lt;=240,"관찰","여유")))))</f>
        <v>기한초과</v>
      </c>
      <c r="P301" s="30" t="s">
        <v>68</v>
      </c>
    </row>
    <row r="302" customFormat="false" ht="33" hidden="false" customHeight="true" outlineLevel="0" collapsed="false">
      <c r="A302" s="21" t="s">
        <v>985</v>
      </c>
      <c r="B302" s="22" t="s">
        <v>1070</v>
      </c>
      <c r="C302" s="21" t="s">
        <v>1178</v>
      </c>
      <c r="D302" s="21" t="s">
        <v>1179</v>
      </c>
      <c r="E302" s="21" t="s">
        <v>1180</v>
      </c>
      <c r="F302" s="23" t="s">
        <v>1074</v>
      </c>
      <c r="G302" s="31" t="s">
        <v>1181</v>
      </c>
      <c r="H302" s="25" t="n">
        <v>26.2</v>
      </c>
      <c r="I302" s="26" t="s">
        <v>41</v>
      </c>
      <c r="J302" s="27"/>
      <c r="K302" s="26" t="s">
        <v>1182</v>
      </c>
      <c r="L302" s="26" t="s">
        <v>256</v>
      </c>
      <c r="M302" s="28" t="n">
        <f aca="false">IF($H302="기한없음","",DATE(2000+VALUE(LEFT($H302,2)),VALUE(RIGHT($H302,1))*3+1,1)-1)</f>
        <v>46203</v>
      </c>
      <c r="N302" s="30" t="n">
        <f aca="false">IF($M302="","",$M302-이행현황요약!$B$3)</f>
        <v>-3</v>
      </c>
      <c r="O302" s="30" t="str">
        <f aca="false">IF($H302="기한없음","기한없음",IF($N302&lt;0,"기한초과",IF($N302&lt;=34,"긴급",IF($N302&lt;=120,"주의",IF($N302&lt;=240,"관찰","여유")))))</f>
        <v>기한초과</v>
      </c>
      <c r="P302" s="30" t="s">
        <v>68</v>
      </c>
    </row>
    <row r="303" customFormat="false" ht="33" hidden="false" customHeight="true" outlineLevel="0" collapsed="false">
      <c r="A303" s="21" t="s">
        <v>985</v>
      </c>
      <c r="B303" s="22" t="s">
        <v>1070</v>
      </c>
      <c r="C303" s="21" t="s">
        <v>1183</v>
      </c>
      <c r="D303" s="21" t="s">
        <v>1184</v>
      </c>
      <c r="E303" s="21" t="s">
        <v>1185</v>
      </c>
      <c r="F303" s="23" t="s">
        <v>1074</v>
      </c>
      <c r="G303" s="24" t="s">
        <v>1186</v>
      </c>
      <c r="H303" s="25" t="n">
        <v>26.2</v>
      </c>
      <c r="I303" s="26" t="s">
        <v>156</v>
      </c>
      <c r="J303" s="27"/>
      <c r="K303" s="26" t="s">
        <v>1187</v>
      </c>
      <c r="L303" s="26" t="s">
        <v>256</v>
      </c>
      <c r="M303" s="28" t="n">
        <f aca="false">IF($H303="기한없음","",DATE(2000+VALUE(LEFT($H303,2)),VALUE(RIGHT($H303,1))*3+1,1)-1)</f>
        <v>46203</v>
      </c>
      <c r="N303" s="30" t="n">
        <f aca="false">IF($M303="","",$M303-이행현황요약!$B$3)</f>
        <v>-3</v>
      </c>
      <c r="O303" s="30" t="str">
        <f aca="false">IF($H303="기한없음","기한없음",IF($N303&lt;0,"기한초과",IF($N303&lt;=34,"긴급",IF($N303&lt;=120,"주의",IF($N303&lt;=240,"관찰","여유")))))</f>
        <v>기한초과</v>
      </c>
      <c r="P303" s="30" t="s">
        <v>68</v>
      </c>
    </row>
    <row r="304" customFormat="false" ht="33" hidden="false" customHeight="true" outlineLevel="0" collapsed="false">
      <c r="A304" s="21" t="s">
        <v>985</v>
      </c>
      <c r="B304" s="22" t="s">
        <v>1070</v>
      </c>
      <c r="C304" s="21" t="s">
        <v>1183</v>
      </c>
      <c r="D304" s="21" t="s">
        <v>1188</v>
      </c>
      <c r="E304" s="23" t="s">
        <v>1189</v>
      </c>
      <c r="F304" s="23" t="s">
        <v>1074</v>
      </c>
      <c r="G304" s="31" t="s">
        <v>1190</v>
      </c>
      <c r="H304" s="25" t="n">
        <v>26.1</v>
      </c>
      <c r="I304" s="26" t="s">
        <v>156</v>
      </c>
      <c r="J304" s="27"/>
      <c r="K304" s="26" t="s">
        <v>41</v>
      </c>
      <c r="L304" s="26" t="s">
        <v>256</v>
      </c>
      <c r="M304" s="28" t="n">
        <f aca="false">IF($H304="기한없음","",DATE(2000+VALUE(LEFT($H304,2)),VALUE(RIGHT($H304,1))*3+1,1)-1)</f>
        <v>46112</v>
      </c>
      <c r="N304" s="30" t="n">
        <f aca="false">IF($M304="","",$M304-이행현황요약!$B$3)</f>
        <v>-94</v>
      </c>
      <c r="O304" s="30" t="str">
        <f aca="false">IF($H304="기한없음","기한없음",IF($N304&lt;0,"기한초과",IF($N304&lt;=34,"긴급",IF($N304&lt;=120,"주의",IF($N304&lt;=240,"관찰","여유")))))</f>
        <v>기한초과</v>
      </c>
      <c r="P304" s="30" t="s">
        <v>68</v>
      </c>
    </row>
    <row r="305" customFormat="false" ht="33" hidden="false" customHeight="true" outlineLevel="0" collapsed="false">
      <c r="A305" s="21" t="s">
        <v>985</v>
      </c>
      <c r="B305" s="22" t="s">
        <v>1070</v>
      </c>
      <c r="C305" s="21" t="s">
        <v>1191</v>
      </c>
      <c r="D305" s="21" t="s">
        <v>1192</v>
      </c>
      <c r="E305" s="21" t="s">
        <v>1193</v>
      </c>
      <c r="F305" s="23" t="s">
        <v>1074</v>
      </c>
      <c r="G305" s="31" t="s">
        <v>1194</v>
      </c>
      <c r="H305" s="25" t="n">
        <v>26.4</v>
      </c>
      <c r="I305" s="26" t="s">
        <v>104</v>
      </c>
      <c r="J305" s="27" t="s">
        <v>94</v>
      </c>
      <c r="K305" s="27"/>
      <c r="L305" s="26" t="s">
        <v>256</v>
      </c>
      <c r="M305" s="28" t="n">
        <f aca="false">IF($H305="기한없음","",DATE(2000+VALUE(LEFT($H305,2)),VALUE(RIGHT($H305,1))*3+1,1)-1)</f>
        <v>46387</v>
      </c>
      <c r="N305" s="30" t="n">
        <f aca="false">IF($M305="","",$M305-이행현황요약!$B$3)</f>
        <v>181</v>
      </c>
      <c r="O305" s="30" t="str">
        <f aca="false">IF($H305="기한없음","기한없음",IF($N305&lt;0,"기한초과",IF($N305&lt;=34,"긴급",IF($N305&lt;=120,"주의",IF($N305&lt;=240,"관찰","여유")))))</f>
        <v>관찰</v>
      </c>
      <c r="P305" s="30" t="s">
        <v>68</v>
      </c>
    </row>
    <row r="306" customFormat="false" ht="49.5" hidden="false" customHeight="true" outlineLevel="0" collapsed="false">
      <c r="A306" s="21" t="s">
        <v>985</v>
      </c>
      <c r="B306" s="22" t="s">
        <v>1070</v>
      </c>
      <c r="C306" s="21" t="s">
        <v>1191</v>
      </c>
      <c r="D306" s="21" t="s">
        <v>1195</v>
      </c>
      <c r="E306" s="23" t="s">
        <v>1196</v>
      </c>
      <c r="F306" s="23" t="s">
        <v>1074</v>
      </c>
      <c r="G306" s="31" t="s">
        <v>1197</v>
      </c>
      <c r="H306" s="25" t="n">
        <v>26.3</v>
      </c>
      <c r="I306" s="26" t="s">
        <v>1198</v>
      </c>
      <c r="J306" s="27"/>
      <c r="K306" s="26" t="s">
        <v>34</v>
      </c>
      <c r="L306" s="26" t="s">
        <v>256</v>
      </c>
      <c r="M306" s="28" t="n">
        <f aca="false">IF($H306="기한없음","",DATE(2000+VALUE(LEFT($H306,2)),VALUE(RIGHT($H306,1))*3+1,1)-1)</f>
        <v>46295</v>
      </c>
      <c r="N306" s="30" t="n">
        <f aca="false">IF($M306="","",$M306-이행현황요약!$B$3)</f>
        <v>89</v>
      </c>
      <c r="O306" s="30" t="str">
        <f aca="false">IF($H306="기한없음","기한없음",IF($N306&lt;0,"기한초과",IF($N306&lt;=34,"긴급",IF($N306&lt;=120,"주의",IF($N306&lt;=240,"관찰","여유")))))</f>
        <v>주의</v>
      </c>
      <c r="P306" s="30" t="s">
        <v>68</v>
      </c>
    </row>
    <row r="307" customFormat="false" ht="33" hidden="false" customHeight="true" outlineLevel="0" collapsed="false">
      <c r="A307" s="21" t="s">
        <v>985</v>
      </c>
      <c r="B307" s="22" t="s">
        <v>1070</v>
      </c>
      <c r="C307" s="21" t="s">
        <v>1191</v>
      </c>
      <c r="D307" s="21" t="s">
        <v>1199</v>
      </c>
      <c r="E307" s="23" t="s">
        <v>1200</v>
      </c>
      <c r="F307" s="23" t="s">
        <v>1074</v>
      </c>
      <c r="G307" s="31" t="s">
        <v>1201</v>
      </c>
      <c r="H307" s="25" t="n">
        <v>27.1</v>
      </c>
      <c r="I307" s="26" t="s">
        <v>1198</v>
      </c>
      <c r="J307" s="27"/>
      <c r="K307" s="27"/>
      <c r="L307" s="26" t="s">
        <v>256</v>
      </c>
      <c r="M307" s="28" t="n">
        <f aca="false">IF($H307="기한없음","",DATE(2000+VALUE(LEFT($H307,2)),VALUE(RIGHT($H307,1))*3+1,1)-1)</f>
        <v>46477</v>
      </c>
      <c r="N307" s="30" t="n">
        <f aca="false">IF($M307="","",$M307-이행현황요약!$B$3)</f>
        <v>271</v>
      </c>
      <c r="O307" s="30" t="str">
        <f aca="false">IF($H307="기한없음","기한없음",IF($N307&lt;0,"기한초과",IF($N307&lt;=34,"긴급",IF($N307&lt;=120,"주의",IF($N307&lt;=240,"관찰","여유")))))</f>
        <v>여유</v>
      </c>
      <c r="P307" s="30" t="s">
        <v>68</v>
      </c>
    </row>
    <row r="308" customFormat="false" ht="33" hidden="false" customHeight="true" outlineLevel="0" collapsed="false">
      <c r="A308" s="21" t="s">
        <v>985</v>
      </c>
      <c r="B308" s="22" t="s">
        <v>1202</v>
      </c>
      <c r="C308" s="21" t="s">
        <v>1203</v>
      </c>
      <c r="D308" s="21" t="s">
        <v>1204</v>
      </c>
      <c r="E308" s="21" t="s">
        <v>1205</v>
      </c>
      <c r="F308" s="23" t="s">
        <v>1206</v>
      </c>
      <c r="G308" s="24" t="s">
        <v>1207</v>
      </c>
      <c r="H308" s="25" t="n">
        <v>26.2</v>
      </c>
      <c r="I308" s="26" t="s">
        <v>43</v>
      </c>
      <c r="J308" s="27"/>
      <c r="K308" s="26" t="s">
        <v>1208</v>
      </c>
      <c r="L308" s="27" t="s">
        <v>67</v>
      </c>
      <c r="M308" s="28" t="n">
        <f aca="false">IF($H308="기한없음","",DATE(2000+VALUE(LEFT($H308,2)),VALUE(RIGHT($H308,1))*3+1,1)-1)</f>
        <v>46203</v>
      </c>
      <c r="N308" s="30" t="n">
        <f aca="false">IF($M308="","",$M308-이행현황요약!$B$3)</f>
        <v>-3</v>
      </c>
      <c r="O308" s="30" t="str">
        <f aca="false">IF($H308="기한없음","기한없음",IF($N308&lt;0,"기한초과",IF($N308&lt;=34,"긴급",IF($N308&lt;=120,"주의",IF($N308&lt;=240,"관찰","여유")))))</f>
        <v>기한초과</v>
      </c>
      <c r="P308" s="30" t="s">
        <v>68</v>
      </c>
    </row>
    <row r="309" customFormat="false" ht="33" hidden="false" customHeight="true" outlineLevel="0" collapsed="false">
      <c r="A309" s="21" t="s">
        <v>985</v>
      </c>
      <c r="B309" s="22" t="s">
        <v>1202</v>
      </c>
      <c r="C309" s="21" t="s">
        <v>1203</v>
      </c>
      <c r="D309" s="21" t="s">
        <v>1209</v>
      </c>
      <c r="E309" s="21" t="s">
        <v>1210</v>
      </c>
      <c r="F309" s="23" t="s">
        <v>1206</v>
      </c>
      <c r="G309" s="24" t="s">
        <v>1211</v>
      </c>
      <c r="H309" s="25" t="n">
        <v>26.3</v>
      </c>
      <c r="I309" s="26" t="s">
        <v>43</v>
      </c>
      <c r="J309" s="27"/>
      <c r="K309" s="26" t="s">
        <v>1208</v>
      </c>
      <c r="L309" s="27" t="s">
        <v>67</v>
      </c>
      <c r="M309" s="28" t="n">
        <f aca="false">IF($H309="기한없음","",DATE(2000+VALUE(LEFT($H309,2)),VALUE(RIGHT($H309,1))*3+1,1)-1)</f>
        <v>46295</v>
      </c>
      <c r="N309" s="30" t="n">
        <f aca="false">IF($M309="","",$M309-이행현황요약!$B$3)</f>
        <v>89</v>
      </c>
      <c r="O309" s="30" t="str">
        <f aca="false">IF($H309="기한없음","기한없음",IF($N309&lt;0,"기한초과",IF($N309&lt;=34,"긴급",IF($N309&lt;=120,"주의",IF($N309&lt;=240,"관찰","여유")))))</f>
        <v>주의</v>
      </c>
      <c r="P309" s="30" t="s">
        <v>68</v>
      </c>
    </row>
    <row r="310" customFormat="false" ht="33" hidden="false" customHeight="true" outlineLevel="0" collapsed="false">
      <c r="A310" s="21" t="s">
        <v>985</v>
      </c>
      <c r="B310" s="22" t="s">
        <v>1202</v>
      </c>
      <c r="C310" s="21" t="s">
        <v>1212</v>
      </c>
      <c r="D310" s="21" t="s">
        <v>1213</v>
      </c>
      <c r="E310" s="21" t="s">
        <v>1214</v>
      </c>
      <c r="F310" s="23" t="s">
        <v>1206</v>
      </c>
      <c r="G310" s="24" t="s">
        <v>1215</v>
      </c>
      <c r="H310" s="32" t="s">
        <v>17</v>
      </c>
      <c r="I310" s="26" t="s">
        <v>38</v>
      </c>
      <c r="J310" s="27"/>
      <c r="K310" s="27"/>
      <c r="L310" s="27" t="s">
        <v>67</v>
      </c>
      <c r="M310" s="28" t="str">
        <f aca="false">IF($H310="기한없음","",DATE(2000+VALUE(LEFT($H310,2)),VALUE(RIGHT($H310,1))*3+1,1)-1)</f>
        <v/>
      </c>
      <c r="N310" s="30" t="str">
        <f aca="false">IF($M310="","",$M310-이행현황요약!$B$3)</f>
        <v/>
      </c>
      <c r="O310" s="30" t="str">
        <f aca="false">IF($H310="기한없음","기한없음",IF($N310&lt;0,"기한초과",IF($N310&lt;=34,"긴급",IF($N310&lt;=120,"주의",IF($N310&lt;=240,"관찰","여유")))))</f>
        <v>기한없음</v>
      </c>
      <c r="P310" s="30" t="s">
        <v>68</v>
      </c>
    </row>
    <row r="311" customFormat="false" ht="49.5" hidden="false" customHeight="true" outlineLevel="0" collapsed="false">
      <c r="A311" s="21" t="s">
        <v>985</v>
      </c>
      <c r="B311" s="22" t="s">
        <v>1202</v>
      </c>
      <c r="C311" s="21" t="s">
        <v>1212</v>
      </c>
      <c r="D311" s="21" t="s">
        <v>1216</v>
      </c>
      <c r="E311" s="21" t="s">
        <v>1217</v>
      </c>
      <c r="F311" s="23" t="s">
        <v>1206</v>
      </c>
      <c r="G311" s="31" t="s">
        <v>1218</v>
      </c>
      <c r="H311" s="25" t="n">
        <v>26.1</v>
      </c>
      <c r="I311" s="26" t="s">
        <v>34</v>
      </c>
      <c r="J311" s="27"/>
      <c r="K311" s="26" t="s">
        <v>1219</v>
      </c>
      <c r="L311" s="27" t="s">
        <v>67</v>
      </c>
      <c r="M311" s="28" t="n">
        <f aca="false">IF($H311="기한없음","",DATE(2000+VALUE(LEFT($H311,2)),VALUE(RIGHT($H311,1))*3+1,1)-1)</f>
        <v>46112</v>
      </c>
      <c r="N311" s="30" t="n">
        <f aca="false">IF($M311="","",$M311-이행현황요약!$B$3)</f>
        <v>-94</v>
      </c>
      <c r="O311" s="30" t="str">
        <f aca="false">IF($H311="기한없음","기한없음",IF($N311&lt;0,"기한초과",IF($N311&lt;=34,"긴급",IF($N311&lt;=120,"주의",IF($N311&lt;=240,"관찰","여유")))))</f>
        <v>기한초과</v>
      </c>
      <c r="P311" s="30" t="s">
        <v>68</v>
      </c>
    </row>
    <row r="312" customFormat="false" ht="33" hidden="false" customHeight="true" outlineLevel="0" collapsed="false">
      <c r="A312" s="21" t="s">
        <v>985</v>
      </c>
      <c r="B312" s="22" t="s">
        <v>1202</v>
      </c>
      <c r="C312" s="21" t="s">
        <v>1212</v>
      </c>
      <c r="D312" s="21" t="s">
        <v>1220</v>
      </c>
      <c r="E312" s="21" t="s">
        <v>1221</v>
      </c>
      <c r="F312" s="23" t="s">
        <v>1206</v>
      </c>
      <c r="G312" s="31" t="s">
        <v>1222</v>
      </c>
      <c r="H312" s="25" t="n">
        <v>26.4</v>
      </c>
      <c r="I312" s="26" t="s">
        <v>34</v>
      </c>
      <c r="J312" s="27"/>
      <c r="K312" s="27"/>
      <c r="L312" s="27" t="s">
        <v>67</v>
      </c>
      <c r="M312" s="28" t="n">
        <f aca="false">IF($H312="기한없음","",DATE(2000+VALUE(LEFT($H312,2)),VALUE(RIGHT($H312,1))*3+1,1)-1)</f>
        <v>46387</v>
      </c>
      <c r="N312" s="30" t="n">
        <f aca="false">IF($M312="","",$M312-이행현황요약!$B$3)</f>
        <v>181</v>
      </c>
      <c r="O312" s="30" t="str">
        <f aca="false">IF($H312="기한없음","기한없음",IF($N312&lt;0,"기한초과",IF($N312&lt;=34,"긴급",IF($N312&lt;=120,"주의",IF($N312&lt;=240,"관찰","여유")))))</f>
        <v>관찰</v>
      </c>
      <c r="P312" s="30" t="s">
        <v>68</v>
      </c>
    </row>
    <row r="313" customFormat="false" ht="33" hidden="false" customHeight="true" outlineLevel="0" collapsed="false">
      <c r="A313" s="21" t="s">
        <v>985</v>
      </c>
      <c r="B313" s="22" t="s">
        <v>1202</v>
      </c>
      <c r="C313" s="21" t="s">
        <v>1223</v>
      </c>
      <c r="D313" s="21" t="s">
        <v>1224</v>
      </c>
      <c r="E313" s="23" t="s">
        <v>1225</v>
      </c>
      <c r="F313" s="23" t="s">
        <v>1206</v>
      </c>
      <c r="G313" s="24" t="s">
        <v>1226</v>
      </c>
      <c r="H313" s="25" t="n">
        <v>26.2</v>
      </c>
      <c r="I313" s="26" t="s">
        <v>38</v>
      </c>
      <c r="J313" s="27"/>
      <c r="K313" s="26" t="s">
        <v>1227</v>
      </c>
      <c r="L313" s="27" t="s">
        <v>67</v>
      </c>
      <c r="M313" s="28" t="n">
        <f aca="false">IF($H313="기한없음","",DATE(2000+VALUE(LEFT($H313,2)),VALUE(RIGHT($H313,1))*3+1,1)-1)</f>
        <v>46203</v>
      </c>
      <c r="N313" s="30" t="n">
        <f aca="false">IF($M313="","",$M313-이행현황요약!$B$3)</f>
        <v>-3</v>
      </c>
      <c r="O313" s="30" t="str">
        <f aca="false">IF($H313="기한없음","기한없음",IF($N313&lt;0,"기한초과",IF($N313&lt;=34,"긴급",IF($N313&lt;=120,"주의",IF($N313&lt;=240,"관찰","여유")))))</f>
        <v>기한초과</v>
      </c>
      <c r="P313" s="30" t="s">
        <v>68</v>
      </c>
    </row>
    <row r="314" customFormat="false" ht="49.5" hidden="false" customHeight="true" outlineLevel="0" collapsed="false">
      <c r="A314" s="21" t="s">
        <v>985</v>
      </c>
      <c r="B314" s="22" t="s">
        <v>1202</v>
      </c>
      <c r="C314" s="21" t="s">
        <v>1223</v>
      </c>
      <c r="D314" s="21" t="s">
        <v>1228</v>
      </c>
      <c r="E314" s="21" t="s">
        <v>1229</v>
      </c>
      <c r="F314" s="23" t="s">
        <v>1206</v>
      </c>
      <c r="G314" s="24" t="s">
        <v>1230</v>
      </c>
      <c r="H314" s="32" t="s">
        <v>17</v>
      </c>
      <c r="I314" s="26" t="s">
        <v>308</v>
      </c>
      <c r="J314" s="27" t="s">
        <v>94</v>
      </c>
      <c r="K314" s="26" t="s">
        <v>156</v>
      </c>
      <c r="L314" s="27" t="s">
        <v>67</v>
      </c>
      <c r="M314" s="28" t="str">
        <f aca="false">IF($H314="기한없음","",DATE(2000+VALUE(LEFT($H314,2)),VALUE(RIGHT($H314,1))*3+1,1)-1)</f>
        <v/>
      </c>
      <c r="N314" s="30" t="str">
        <f aca="false">IF($M314="","",$M314-이행현황요약!$B$3)</f>
        <v/>
      </c>
      <c r="O314" s="30" t="str">
        <f aca="false">IF($H314="기한없음","기한없음",IF($N314&lt;0,"기한초과",IF($N314&lt;=34,"긴급",IF($N314&lt;=120,"주의",IF($N314&lt;=240,"관찰","여유")))))</f>
        <v>기한없음</v>
      </c>
      <c r="P314" s="30" t="s">
        <v>68</v>
      </c>
    </row>
    <row r="315" customFormat="false" ht="33" hidden="false" customHeight="true" outlineLevel="0" collapsed="false">
      <c r="A315" s="21" t="s">
        <v>985</v>
      </c>
      <c r="B315" s="22" t="s">
        <v>1202</v>
      </c>
      <c r="C315" s="21" t="s">
        <v>1231</v>
      </c>
      <c r="D315" s="21" t="s">
        <v>1232</v>
      </c>
      <c r="E315" s="23" t="s">
        <v>1233</v>
      </c>
      <c r="F315" s="23" t="s">
        <v>1206</v>
      </c>
      <c r="G315" s="24" t="s">
        <v>1234</v>
      </c>
      <c r="H315" s="25" t="n">
        <v>26.3</v>
      </c>
      <c r="I315" s="26" t="s">
        <v>42</v>
      </c>
      <c r="J315" s="27"/>
      <c r="K315" s="26" t="s">
        <v>308</v>
      </c>
      <c r="L315" s="27" t="s">
        <v>67</v>
      </c>
      <c r="M315" s="28" t="n">
        <f aca="false">IF($H315="기한없음","",DATE(2000+VALUE(LEFT($H315,2)),VALUE(RIGHT($H315,1))*3+1,1)-1)</f>
        <v>46295</v>
      </c>
      <c r="N315" s="30" t="n">
        <f aca="false">IF($M315="","",$M315-이행현황요약!$B$3)</f>
        <v>89</v>
      </c>
      <c r="O315" s="30" t="str">
        <f aca="false">IF($H315="기한없음","기한없음",IF($N315&lt;0,"기한초과",IF($N315&lt;=34,"긴급",IF($N315&lt;=120,"주의",IF($N315&lt;=240,"관찰","여유")))))</f>
        <v>주의</v>
      </c>
      <c r="P315" s="30" t="s">
        <v>68</v>
      </c>
    </row>
    <row r="316" customFormat="false" ht="33" hidden="false" customHeight="true" outlineLevel="0" collapsed="false">
      <c r="A316" s="21" t="s">
        <v>985</v>
      </c>
      <c r="B316" s="22" t="s">
        <v>1202</v>
      </c>
      <c r="C316" s="21" t="s">
        <v>1231</v>
      </c>
      <c r="D316" s="21" t="s">
        <v>1235</v>
      </c>
      <c r="E316" s="23" t="s">
        <v>1236</v>
      </c>
      <c r="F316" s="23" t="s">
        <v>1206</v>
      </c>
      <c r="G316" s="24" t="s">
        <v>1237</v>
      </c>
      <c r="H316" s="25" t="n">
        <v>26.3</v>
      </c>
      <c r="I316" s="26" t="s">
        <v>42</v>
      </c>
      <c r="J316" s="27"/>
      <c r="K316" s="27"/>
      <c r="L316" s="27" t="s">
        <v>67</v>
      </c>
      <c r="M316" s="28" t="n">
        <f aca="false">IF($H316="기한없음","",DATE(2000+VALUE(LEFT($H316,2)),VALUE(RIGHT($H316,1))*3+1,1)-1)</f>
        <v>46295</v>
      </c>
      <c r="N316" s="30" t="n">
        <f aca="false">IF($M316="","",$M316-이행현황요약!$B$3)</f>
        <v>89</v>
      </c>
      <c r="O316" s="30" t="str">
        <f aca="false">IF($H316="기한없음","기한없음",IF($N316&lt;0,"기한초과",IF($N316&lt;=34,"긴급",IF($N316&lt;=120,"주의",IF($N316&lt;=240,"관찰","여유")))))</f>
        <v>주의</v>
      </c>
      <c r="P316" s="30" t="s">
        <v>68</v>
      </c>
    </row>
    <row r="317" customFormat="false" ht="33" hidden="false" customHeight="true" outlineLevel="0" collapsed="false">
      <c r="A317" s="21" t="s">
        <v>985</v>
      </c>
      <c r="B317" s="22" t="s">
        <v>1202</v>
      </c>
      <c r="C317" s="21" t="s">
        <v>1231</v>
      </c>
      <c r="D317" s="21" t="s">
        <v>1238</v>
      </c>
      <c r="E317" s="23" t="s">
        <v>1239</v>
      </c>
      <c r="F317" s="23" t="s">
        <v>1206</v>
      </c>
      <c r="G317" s="24" t="s">
        <v>1240</v>
      </c>
      <c r="H317" s="25" t="n">
        <v>26.2</v>
      </c>
      <c r="I317" s="26" t="s">
        <v>38</v>
      </c>
      <c r="J317" s="27"/>
      <c r="K317" s="26" t="s">
        <v>40</v>
      </c>
      <c r="L317" s="27" t="s">
        <v>67</v>
      </c>
      <c r="M317" s="28" t="n">
        <f aca="false">IF($H317="기한없음","",DATE(2000+VALUE(LEFT($H317,2)),VALUE(RIGHT($H317,1))*3+1,1)-1)</f>
        <v>46203</v>
      </c>
      <c r="N317" s="30" t="n">
        <f aca="false">IF($M317="","",$M317-이행현황요약!$B$3)</f>
        <v>-3</v>
      </c>
      <c r="O317" s="30" t="str">
        <f aca="false">IF($H317="기한없음","기한없음",IF($N317&lt;0,"기한초과",IF($N317&lt;=34,"긴급",IF($N317&lt;=120,"주의",IF($N317&lt;=240,"관찰","여유")))))</f>
        <v>기한초과</v>
      </c>
      <c r="P317" s="30" t="s">
        <v>68</v>
      </c>
    </row>
    <row r="318" customFormat="false" ht="49.5" hidden="false" customHeight="true" outlineLevel="0" collapsed="false">
      <c r="A318" s="21" t="s">
        <v>985</v>
      </c>
      <c r="B318" s="22" t="s">
        <v>1202</v>
      </c>
      <c r="C318" s="21" t="s">
        <v>1241</v>
      </c>
      <c r="D318" s="21" t="s">
        <v>1242</v>
      </c>
      <c r="E318" s="23" t="s">
        <v>1243</v>
      </c>
      <c r="F318" s="23" t="s">
        <v>1206</v>
      </c>
      <c r="G318" s="24" t="s">
        <v>1244</v>
      </c>
      <c r="H318" s="25" t="n">
        <v>26.1</v>
      </c>
      <c r="I318" s="26" t="s">
        <v>42</v>
      </c>
      <c r="J318" s="27"/>
      <c r="K318" s="26" t="s">
        <v>1245</v>
      </c>
      <c r="L318" s="27" t="s">
        <v>67</v>
      </c>
      <c r="M318" s="28" t="n">
        <f aca="false">IF($H318="기한없음","",DATE(2000+VALUE(LEFT($H318,2)),VALUE(RIGHT($H318,1))*3+1,1)-1)</f>
        <v>46112</v>
      </c>
      <c r="N318" s="30" t="n">
        <f aca="false">IF($M318="","",$M318-이행현황요약!$B$3)</f>
        <v>-94</v>
      </c>
      <c r="O318" s="30" t="str">
        <f aca="false">IF($H318="기한없음","기한없음",IF($N318&lt;0,"기한초과",IF($N318&lt;=34,"긴급",IF($N318&lt;=120,"주의",IF($N318&lt;=240,"관찰","여유")))))</f>
        <v>기한초과</v>
      </c>
      <c r="P318" s="30" t="s">
        <v>68</v>
      </c>
    </row>
    <row r="319" customFormat="false" ht="82.5" hidden="false" customHeight="true" outlineLevel="0" collapsed="false">
      <c r="A319" s="21" t="s">
        <v>985</v>
      </c>
      <c r="B319" s="22" t="s">
        <v>1202</v>
      </c>
      <c r="C319" s="21" t="s">
        <v>1241</v>
      </c>
      <c r="D319" s="21" t="s">
        <v>1246</v>
      </c>
      <c r="E319" s="23" t="s">
        <v>1247</v>
      </c>
      <c r="F319" s="23" t="s">
        <v>1206</v>
      </c>
      <c r="G319" s="24" t="s">
        <v>1248</v>
      </c>
      <c r="H319" s="25" t="n">
        <v>26.1</v>
      </c>
      <c r="I319" s="26" t="s">
        <v>42</v>
      </c>
      <c r="J319" s="27"/>
      <c r="K319" s="27"/>
      <c r="L319" s="27" t="s">
        <v>67</v>
      </c>
      <c r="M319" s="28" t="n">
        <f aca="false">IF($H319="기한없음","",DATE(2000+VALUE(LEFT($H319,2)),VALUE(RIGHT($H319,1))*3+1,1)-1)</f>
        <v>46112</v>
      </c>
      <c r="N319" s="30" t="n">
        <f aca="false">IF($M319="","",$M319-이행현황요약!$B$3)</f>
        <v>-94</v>
      </c>
      <c r="O319" s="30" t="str">
        <f aca="false">IF($H319="기한없음","기한없음",IF($N319&lt;0,"기한초과",IF($N319&lt;=34,"긴급",IF($N319&lt;=120,"주의",IF($N319&lt;=240,"관찰","여유")))))</f>
        <v>기한초과</v>
      </c>
      <c r="P319" s="30" t="s">
        <v>68</v>
      </c>
    </row>
    <row r="320" customFormat="false" ht="66" hidden="false" customHeight="true" outlineLevel="0" collapsed="false">
      <c r="A320" s="21" t="s">
        <v>985</v>
      </c>
      <c r="B320" s="22" t="s">
        <v>1249</v>
      </c>
      <c r="C320" s="21" t="s">
        <v>1250</v>
      </c>
      <c r="D320" s="21" t="s">
        <v>1251</v>
      </c>
      <c r="E320" s="21" t="s">
        <v>1252</v>
      </c>
      <c r="F320" s="23" t="s">
        <v>329</v>
      </c>
      <c r="G320" s="24" t="s">
        <v>1253</v>
      </c>
      <c r="H320" s="25" t="n">
        <v>26.1</v>
      </c>
      <c r="I320" s="26" t="s">
        <v>44</v>
      </c>
      <c r="J320" s="27"/>
      <c r="K320" s="27"/>
      <c r="L320" s="27" t="s">
        <v>332</v>
      </c>
      <c r="M320" s="28" t="n">
        <f aca="false">IF($H320="기한없음","",DATE(2000+VALUE(LEFT($H320,2)),VALUE(RIGHT($H320,1))*3+1,1)-1)</f>
        <v>46112</v>
      </c>
      <c r="N320" s="30" t="n">
        <f aca="false">IF($M320="","",$M320-이행현황요약!$B$3)</f>
        <v>-94</v>
      </c>
      <c r="O320" s="30" t="str">
        <f aca="false">IF($H320="기한없음","기한없음",IF($N320&lt;0,"기한초과",IF($N320&lt;=34,"긴급",IF($N320&lt;=120,"주의",IF($N320&lt;=240,"관찰","여유")))))</f>
        <v>기한초과</v>
      </c>
      <c r="P320" s="30" t="s">
        <v>68</v>
      </c>
    </row>
    <row r="321" customFormat="false" ht="66" hidden="false" customHeight="true" outlineLevel="0" collapsed="false">
      <c r="A321" s="21" t="s">
        <v>985</v>
      </c>
      <c r="B321" s="22" t="s">
        <v>1249</v>
      </c>
      <c r="C321" s="21" t="s">
        <v>1254</v>
      </c>
      <c r="D321" s="21" t="s">
        <v>1255</v>
      </c>
      <c r="E321" s="21" t="s">
        <v>1256</v>
      </c>
      <c r="F321" s="23" t="s">
        <v>329</v>
      </c>
      <c r="G321" s="24" t="s">
        <v>1257</v>
      </c>
      <c r="H321" s="25" t="n">
        <v>26.2</v>
      </c>
      <c r="I321" s="26" t="s">
        <v>1258</v>
      </c>
      <c r="J321" s="27" t="s">
        <v>94</v>
      </c>
      <c r="K321" s="27"/>
      <c r="L321" s="27" t="s">
        <v>332</v>
      </c>
      <c r="M321" s="28" t="n">
        <f aca="false">IF($H321="기한없음","",DATE(2000+VALUE(LEFT($H321,2)),VALUE(RIGHT($H321,1))*3+1,1)-1)</f>
        <v>46203</v>
      </c>
      <c r="N321" s="30" t="n">
        <f aca="false">IF($M321="","",$M321-이행현황요약!$B$3)</f>
        <v>-3</v>
      </c>
      <c r="O321" s="30" t="str">
        <f aca="false">IF($H321="기한없음","기한없음",IF($N321&lt;0,"기한초과",IF($N321&lt;=34,"긴급",IF($N321&lt;=120,"주의",IF($N321&lt;=240,"관찰","여유")))))</f>
        <v>기한초과</v>
      </c>
      <c r="P321" s="30" t="s">
        <v>68</v>
      </c>
    </row>
    <row r="322" customFormat="false" ht="99" hidden="false" customHeight="true" outlineLevel="0" collapsed="false">
      <c r="A322" s="21" t="s">
        <v>985</v>
      </c>
      <c r="B322" s="22" t="s">
        <v>1249</v>
      </c>
      <c r="C322" s="21" t="s">
        <v>1254</v>
      </c>
      <c r="D322" s="21" t="s">
        <v>1259</v>
      </c>
      <c r="E322" s="21" t="s">
        <v>1260</v>
      </c>
      <c r="F322" s="23" t="s">
        <v>329</v>
      </c>
      <c r="G322" s="31" t="s">
        <v>1261</v>
      </c>
      <c r="H322" s="25" t="n">
        <v>26.2</v>
      </c>
      <c r="I322" s="26" t="s">
        <v>44</v>
      </c>
      <c r="J322" s="27"/>
      <c r="K322" s="27"/>
      <c r="L322" s="27" t="s">
        <v>332</v>
      </c>
      <c r="M322" s="28" t="n">
        <f aca="false">IF($H322="기한없음","",DATE(2000+VALUE(LEFT($H322,2)),VALUE(RIGHT($H322,1))*3+1,1)-1)</f>
        <v>46203</v>
      </c>
      <c r="N322" s="30" t="n">
        <f aca="false">IF($M322="","",$M322-이행현황요약!$B$3)</f>
        <v>-3</v>
      </c>
      <c r="O322" s="30" t="str">
        <f aca="false">IF($H322="기한없음","기한없음",IF($N322&lt;0,"기한초과",IF($N322&lt;=34,"긴급",IF($N322&lt;=120,"주의",IF($N322&lt;=240,"관찰","여유")))))</f>
        <v>기한초과</v>
      </c>
      <c r="P322" s="30" t="s">
        <v>68</v>
      </c>
    </row>
    <row r="323" customFormat="false" ht="82.5" hidden="false" customHeight="true" outlineLevel="0" collapsed="false">
      <c r="A323" s="21" t="s">
        <v>985</v>
      </c>
      <c r="B323" s="22" t="s">
        <v>1249</v>
      </c>
      <c r="C323" s="21" t="s">
        <v>1254</v>
      </c>
      <c r="D323" s="21" t="s">
        <v>1262</v>
      </c>
      <c r="E323" s="21" t="s">
        <v>1263</v>
      </c>
      <c r="F323" s="23" t="s">
        <v>329</v>
      </c>
      <c r="G323" s="24" t="s">
        <v>1264</v>
      </c>
      <c r="H323" s="32" t="s">
        <v>17</v>
      </c>
      <c r="I323" s="26" t="s">
        <v>472</v>
      </c>
      <c r="J323" s="27"/>
      <c r="K323" s="27"/>
      <c r="L323" s="27" t="s">
        <v>332</v>
      </c>
      <c r="M323" s="28" t="str">
        <f aca="false">IF($H323="기한없음","",DATE(2000+VALUE(LEFT($H323,2)),VALUE(RIGHT($H323,1))*3+1,1)-1)</f>
        <v/>
      </c>
      <c r="N323" s="30" t="str">
        <f aca="false">IF($M323="","",$M323-이행현황요약!$B$3)</f>
        <v/>
      </c>
      <c r="O323" s="30" t="str">
        <f aca="false">IF($H323="기한없음","기한없음",IF($N323&lt;0,"기한초과",IF($N323&lt;=34,"긴급",IF($N323&lt;=120,"주의",IF($N323&lt;=240,"관찰","여유")))))</f>
        <v>기한없음</v>
      </c>
      <c r="P323" s="30" t="s">
        <v>68</v>
      </c>
    </row>
    <row r="324" customFormat="false" ht="82.5" hidden="false" customHeight="true" outlineLevel="0" collapsed="false">
      <c r="A324" s="21" t="s">
        <v>985</v>
      </c>
      <c r="B324" s="22" t="s">
        <v>1249</v>
      </c>
      <c r="C324" s="21" t="s">
        <v>1265</v>
      </c>
      <c r="D324" s="21" t="s">
        <v>1266</v>
      </c>
      <c r="E324" s="21" t="s">
        <v>1267</v>
      </c>
      <c r="F324" s="23" t="s">
        <v>802</v>
      </c>
      <c r="G324" s="24" t="s">
        <v>1268</v>
      </c>
      <c r="H324" s="25" t="n">
        <v>26.2</v>
      </c>
      <c r="I324" s="26" t="s">
        <v>44</v>
      </c>
      <c r="J324" s="27"/>
      <c r="K324" s="27"/>
      <c r="L324" s="27" t="s">
        <v>332</v>
      </c>
      <c r="M324" s="28" t="n">
        <f aca="false">IF($H324="기한없음","",DATE(2000+VALUE(LEFT($H324,2)),VALUE(RIGHT($H324,1))*3+1,1)-1)</f>
        <v>46203</v>
      </c>
      <c r="N324" s="30" t="n">
        <f aca="false">IF($M324="","",$M324-이행현황요약!$B$3)</f>
        <v>-3</v>
      </c>
      <c r="O324" s="30" t="str">
        <f aca="false">IF($H324="기한없음","기한없음",IF($N324&lt;0,"기한초과",IF($N324&lt;=34,"긴급",IF($N324&lt;=120,"주의",IF($N324&lt;=240,"관찰","여유")))))</f>
        <v>기한초과</v>
      </c>
      <c r="P324" s="30" t="s">
        <v>68</v>
      </c>
    </row>
    <row r="325" customFormat="false" ht="82.5" hidden="false" customHeight="true" outlineLevel="0" collapsed="false">
      <c r="A325" s="21" t="s">
        <v>985</v>
      </c>
      <c r="B325" s="22" t="s">
        <v>1249</v>
      </c>
      <c r="C325" s="21" t="s">
        <v>1265</v>
      </c>
      <c r="D325" s="21" t="s">
        <v>1269</v>
      </c>
      <c r="E325" s="21" t="s">
        <v>1270</v>
      </c>
      <c r="F325" s="23" t="s">
        <v>802</v>
      </c>
      <c r="G325" s="31" t="s">
        <v>1271</v>
      </c>
      <c r="H325" s="25" t="n">
        <v>26.2</v>
      </c>
      <c r="I325" s="26" t="s">
        <v>44</v>
      </c>
      <c r="J325" s="27"/>
      <c r="K325" s="27"/>
      <c r="L325" s="27" t="s">
        <v>332</v>
      </c>
      <c r="M325" s="28" t="n">
        <f aca="false">IF($H325="기한없음","",DATE(2000+VALUE(LEFT($H325,2)),VALUE(RIGHT($H325,1))*3+1,1)-1)</f>
        <v>46203</v>
      </c>
      <c r="N325" s="30" t="n">
        <f aca="false">IF($M325="","",$M325-이행현황요약!$B$3)</f>
        <v>-3</v>
      </c>
      <c r="O325" s="30" t="str">
        <f aca="false">IF($H325="기한없음","기한없음",IF($N325&lt;0,"기한초과",IF($N325&lt;=34,"긴급",IF($N325&lt;=120,"주의",IF($N325&lt;=240,"관찰","여유")))))</f>
        <v>기한초과</v>
      </c>
      <c r="P325" s="30" t="s">
        <v>68</v>
      </c>
    </row>
    <row r="326" customFormat="false" ht="49.5" hidden="false" customHeight="true" outlineLevel="0" collapsed="false">
      <c r="A326" s="21" t="s">
        <v>985</v>
      </c>
      <c r="B326" s="22" t="s">
        <v>1249</v>
      </c>
      <c r="C326" s="21" t="s">
        <v>1272</v>
      </c>
      <c r="D326" s="21" t="s">
        <v>1273</v>
      </c>
      <c r="E326" s="21" t="s">
        <v>1274</v>
      </c>
      <c r="F326" s="23" t="s">
        <v>329</v>
      </c>
      <c r="G326" s="24" t="s">
        <v>1275</v>
      </c>
      <c r="H326" s="25" t="n">
        <v>26.2</v>
      </c>
      <c r="I326" s="26" t="s">
        <v>44</v>
      </c>
      <c r="J326" s="27"/>
      <c r="K326" s="26" t="s">
        <v>1276</v>
      </c>
      <c r="L326" s="27" t="s">
        <v>332</v>
      </c>
      <c r="M326" s="28" t="n">
        <f aca="false">IF($H326="기한없음","",DATE(2000+VALUE(LEFT($H326,2)),VALUE(RIGHT($H326,1))*3+1,1)-1)</f>
        <v>46203</v>
      </c>
      <c r="N326" s="30" t="n">
        <f aca="false">IF($M326="","",$M326-이행현황요약!$B$3)</f>
        <v>-3</v>
      </c>
      <c r="O326" s="30" t="str">
        <f aca="false">IF($H326="기한없음","기한없음",IF($N326&lt;0,"기한초과",IF($N326&lt;=34,"긴급",IF($N326&lt;=120,"주의",IF($N326&lt;=240,"관찰","여유")))))</f>
        <v>기한초과</v>
      </c>
      <c r="P326" s="30" t="s">
        <v>68</v>
      </c>
    </row>
    <row r="327" customFormat="false" ht="49.5" hidden="false" customHeight="true" outlineLevel="0" collapsed="false">
      <c r="A327" s="21" t="s">
        <v>985</v>
      </c>
      <c r="B327" s="22" t="s">
        <v>1249</v>
      </c>
      <c r="C327" s="21" t="s">
        <v>1272</v>
      </c>
      <c r="D327" s="21" t="s">
        <v>1277</v>
      </c>
      <c r="E327" s="21" t="s">
        <v>1278</v>
      </c>
      <c r="F327" s="23" t="s">
        <v>329</v>
      </c>
      <c r="G327" s="24" t="s">
        <v>1279</v>
      </c>
      <c r="H327" s="25" t="n">
        <v>26.4</v>
      </c>
      <c r="I327" s="26" t="s">
        <v>44</v>
      </c>
      <c r="J327" s="27"/>
      <c r="K327" s="26" t="s">
        <v>241</v>
      </c>
      <c r="L327" s="27" t="s">
        <v>332</v>
      </c>
      <c r="M327" s="28" t="n">
        <f aca="false">IF($H327="기한없음","",DATE(2000+VALUE(LEFT($H327,2)),VALUE(RIGHT($H327,1))*3+1,1)-1)</f>
        <v>46387</v>
      </c>
      <c r="N327" s="30" t="n">
        <f aca="false">IF($M327="","",$M327-이행현황요약!$B$3)</f>
        <v>181</v>
      </c>
      <c r="O327" s="30" t="str">
        <f aca="false">IF($H327="기한없음","기한없음",IF($N327&lt;0,"기한초과",IF($N327&lt;=34,"긴급",IF($N327&lt;=120,"주의",IF($N327&lt;=240,"관찰","여유")))))</f>
        <v>관찰</v>
      </c>
      <c r="P327" s="30" t="s">
        <v>68</v>
      </c>
    </row>
  </sheetData>
  <printOptions headings="false" gridLines="false" gridLinesSet="true" horizontalCentered="false" verticalCentered="false"/>
  <pageMargins left="0.25" right="0.25"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2025-12-14T10:13:13Z</dcterms:created>
  <dc:creator>openpyxl</dc:creator>
  <dc:description/>
  <dc:language>en-US</dc:language>
  <cp:lastModifiedBy>External</cp:lastModifiedBy>
  <cp:lastPrinted>2026-02-04T00:45:40Z</cp:lastPrinted>
  <dcterms:modified xsi:type="dcterms:W3CDTF">2026-07-03T02:32:10Z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